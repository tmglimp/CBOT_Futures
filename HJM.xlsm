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2565" documentId="8_{458E77EB-200A-4C61-ABC8-6FF3C8B94725}" xr6:coauthVersionLast="47" xr6:coauthVersionMax="47" xr10:uidLastSave="{5E6BAA7E-B7C5-4AE3-8CD7-FD17C1D28273}"/>
  <bookViews>
    <workbookView xWindow="-110" yWindow="-110" windowWidth="22780" windowHeight="14540" xr2:uid="{00000000-000D-0000-FFFF-FFFF00000000}"/>
  </bookViews>
  <sheets>
    <sheet name="HJM_exp" sheetId="4" r:id="rId1"/>
  </sheets>
  <definedNames>
    <definedName name="solver_adj" localSheetId="0" hidden="1">HJM_exp!$B$9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HJM_exp!$H$31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1" i="4" l="1"/>
  <c r="G124" i="4"/>
  <c r="F124" i="4"/>
  <c r="E124" i="4"/>
  <c r="D124" i="4"/>
  <c r="C124" i="4"/>
  <c r="B124" i="4"/>
  <c r="F161" i="4"/>
  <c r="E161" i="4"/>
  <c r="D161" i="4"/>
  <c r="C161" i="4"/>
  <c r="B161" i="4"/>
  <c r="G14" i="4"/>
  <c r="M21" i="4" s="1"/>
  <c r="F14" i="4"/>
  <c r="F125" i="4" s="1"/>
  <c r="F126" i="4" s="1"/>
  <c r="E14" i="4"/>
  <c r="E88" i="4" s="1"/>
  <c r="E89" i="4" s="1"/>
  <c r="D14" i="4"/>
  <c r="K6" i="4" s="1"/>
  <c r="C14" i="4"/>
  <c r="J6" i="4" s="1"/>
  <c r="B14" i="4"/>
  <c r="B15" i="4" s="1"/>
  <c r="B8" i="4"/>
  <c r="D125" i="4" l="1"/>
  <c r="D126" i="4" s="1"/>
  <c r="E162" i="4"/>
  <c r="E163" i="4" s="1"/>
  <c r="M23" i="4"/>
  <c r="C15" i="4"/>
  <c r="J7" i="4" s="1"/>
  <c r="C162" i="4"/>
  <c r="C163" i="4" s="1"/>
  <c r="F15" i="4"/>
  <c r="F162" i="4"/>
  <c r="F163" i="4" s="1"/>
  <c r="F88" i="4"/>
  <c r="F89" i="4" s="1"/>
  <c r="D51" i="4"/>
  <c r="D52" i="4" s="1"/>
  <c r="M41" i="4"/>
  <c r="E125" i="4"/>
  <c r="E126" i="4" s="1"/>
  <c r="M43" i="4"/>
  <c r="M35" i="4"/>
  <c r="L6" i="4"/>
  <c r="M29" i="4"/>
  <c r="E51" i="4"/>
  <c r="E52" i="4" s="1"/>
  <c r="D88" i="4"/>
  <c r="D89" i="4" s="1"/>
  <c r="C51" i="4"/>
  <c r="C52" i="4" s="1"/>
  <c r="C88" i="4"/>
  <c r="C89" i="4" s="1"/>
  <c r="E15" i="4"/>
  <c r="M47" i="4"/>
  <c r="G15" i="4"/>
  <c r="M17" i="4"/>
  <c r="M31" i="4"/>
  <c r="M33" i="4"/>
  <c r="G51" i="4"/>
  <c r="M27" i="4"/>
  <c r="M25" i="4"/>
  <c r="M19" i="4"/>
  <c r="G162" i="4"/>
  <c r="G88" i="4"/>
  <c r="N6" i="4"/>
  <c r="G125" i="4"/>
  <c r="M39" i="4"/>
  <c r="I6" i="4"/>
  <c r="B125" i="4"/>
  <c r="B143" i="4" s="1"/>
  <c r="B32" i="4"/>
  <c r="B162" i="4"/>
  <c r="B180" i="4" s="1"/>
  <c r="B88" i="4"/>
  <c r="B106" i="4" s="1"/>
  <c r="M45" i="4"/>
  <c r="M37" i="4"/>
  <c r="B51" i="4"/>
  <c r="B69" i="4" s="1"/>
  <c r="D15" i="4"/>
  <c r="D162" i="4"/>
  <c r="D163" i="4" s="1"/>
  <c r="I7" i="4"/>
  <c r="I8" i="4" s="1"/>
  <c r="M6" i="4"/>
  <c r="F51" i="4"/>
  <c r="F52" i="4" s="1"/>
  <c r="C125" i="4"/>
  <c r="C126" i="4" s="1"/>
  <c r="L7" i="4" l="1"/>
  <c r="L8" i="4" s="1"/>
  <c r="M7" i="4"/>
  <c r="M8" i="4" s="1"/>
  <c r="N7" i="4"/>
  <c r="N8" i="4" s="1"/>
  <c r="N9" i="4" s="1"/>
  <c r="J8" i="4"/>
  <c r="K7" i="4"/>
  <c r="K8" i="4" s="1"/>
  <c r="C107" i="4"/>
  <c r="C105" i="4"/>
  <c r="C142" i="4"/>
  <c r="C144" i="4"/>
  <c r="C181" i="4"/>
  <c r="C179" i="4"/>
  <c r="C33" i="4"/>
  <c r="D34" i="4" s="1"/>
  <c r="E34" i="4" s="1"/>
  <c r="C31" i="4"/>
  <c r="D30" i="4" s="1"/>
  <c r="C68" i="4"/>
  <c r="C70" i="4"/>
  <c r="B163" i="4"/>
  <c r="M179" i="4"/>
  <c r="M167" i="4"/>
  <c r="M193" i="4"/>
  <c r="M189" i="4"/>
  <c r="M173" i="4"/>
  <c r="M175" i="4"/>
  <c r="M191" i="4"/>
  <c r="G163" i="4"/>
  <c r="M177" i="4"/>
  <c r="M181" i="4"/>
  <c r="M165" i="4"/>
  <c r="M185" i="4"/>
  <c r="M187" i="4"/>
  <c r="M183" i="4"/>
  <c r="M169" i="4"/>
  <c r="M171" i="4"/>
  <c r="M195" i="4"/>
  <c r="B126" i="4"/>
  <c r="H6" i="4"/>
  <c r="G6" i="4" s="1"/>
  <c r="B89" i="4"/>
  <c r="M95" i="4"/>
  <c r="M121" i="4"/>
  <c r="M103" i="4"/>
  <c r="M97" i="4"/>
  <c r="M101" i="4"/>
  <c r="M91" i="4"/>
  <c r="M93" i="4"/>
  <c r="M115" i="4"/>
  <c r="M107" i="4"/>
  <c r="M119" i="4"/>
  <c r="M109" i="4"/>
  <c r="M105" i="4"/>
  <c r="M113" i="4"/>
  <c r="M99" i="4"/>
  <c r="M111" i="4"/>
  <c r="G89" i="4"/>
  <c r="M117" i="4"/>
  <c r="B52" i="4"/>
  <c r="M66" i="4"/>
  <c r="M84" i="4"/>
  <c r="M56" i="4"/>
  <c r="M70" i="4"/>
  <c r="M80" i="4"/>
  <c r="G52" i="4"/>
  <c r="M68" i="4"/>
  <c r="M62" i="4"/>
  <c r="M74" i="4"/>
  <c r="M82" i="4"/>
  <c r="M58" i="4"/>
  <c r="M60" i="4"/>
  <c r="M78" i="4"/>
  <c r="M54" i="4"/>
  <c r="M64" i="4"/>
  <c r="M76" i="4"/>
  <c r="M72" i="4"/>
  <c r="M144" i="4"/>
  <c r="M134" i="4"/>
  <c r="M132" i="4"/>
  <c r="M156" i="4"/>
  <c r="M158" i="4"/>
  <c r="M146" i="4"/>
  <c r="M136" i="4"/>
  <c r="M148" i="4"/>
  <c r="G126" i="4"/>
  <c r="M138" i="4"/>
  <c r="M150" i="4"/>
  <c r="M154" i="4"/>
  <c r="M152" i="4"/>
  <c r="M128" i="4"/>
  <c r="M142" i="4"/>
  <c r="M130" i="4"/>
  <c r="M140" i="4"/>
  <c r="D72" i="4" l="1"/>
  <c r="D71" i="4"/>
  <c r="D103" i="4"/>
  <c r="D104" i="4"/>
  <c r="D108" i="4"/>
  <c r="D109" i="4"/>
  <c r="D29" i="4"/>
  <c r="D182" i="4"/>
  <c r="D183" i="4"/>
  <c r="D146" i="4"/>
  <c r="D145" i="4"/>
  <c r="D67" i="4"/>
  <c r="D66" i="4"/>
  <c r="D35" i="4"/>
  <c r="D178" i="4"/>
  <c r="D177" i="4"/>
  <c r="D141" i="4"/>
  <c r="D140" i="4"/>
  <c r="M9" i="4"/>
  <c r="L9" i="4" s="1"/>
  <c r="K9" i="4" s="1"/>
  <c r="J9" i="4" s="1"/>
  <c r="I9" i="4" s="1"/>
  <c r="G9" i="4" s="1"/>
  <c r="E184" i="4" l="1"/>
  <c r="E183" i="4"/>
  <c r="E73" i="4"/>
  <c r="E72" i="4"/>
  <c r="E36" i="4"/>
  <c r="E35" i="4"/>
  <c r="E33" i="4"/>
  <c r="E110" i="4"/>
  <c r="E109" i="4"/>
  <c r="E140" i="4"/>
  <c r="E139" i="4"/>
  <c r="E105" i="4"/>
  <c r="E104" i="4"/>
  <c r="E176" i="4"/>
  <c r="E177" i="4"/>
  <c r="E70" i="4"/>
  <c r="E71" i="4"/>
  <c r="E179" i="4"/>
  <c r="E178" i="4"/>
  <c r="E182" i="4"/>
  <c r="E181" i="4"/>
  <c r="E30" i="4"/>
  <c r="E31" i="4"/>
  <c r="E29" i="4"/>
  <c r="E28" i="4"/>
  <c r="E66" i="4"/>
  <c r="E65" i="4"/>
  <c r="E67" i="4"/>
  <c r="E68" i="4"/>
  <c r="E107" i="4"/>
  <c r="E108" i="4"/>
  <c r="E145" i="4"/>
  <c r="E144" i="4"/>
  <c r="E142" i="4"/>
  <c r="E141" i="4"/>
  <c r="E147" i="4"/>
  <c r="E146" i="4"/>
  <c r="E102" i="4"/>
  <c r="E103" i="4"/>
  <c r="F145" i="4" l="1"/>
  <c r="F144" i="4"/>
  <c r="F73" i="4"/>
  <c r="F72" i="4"/>
  <c r="F112" i="4"/>
  <c r="F111" i="4"/>
  <c r="F147" i="4"/>
  <c r="F146" i="4"/>
  <c r="F71" i="4"/>
  <c r="F70" i="4"/>
  <c r="F114" i="4"/>
  <c r="F113" i="4"/>
  <c r="F101" i="4"/>
  <c r="F100" i="4"/>
  <c r="F33" i="4"/>
  <c r="L33" i="4" s="1"/>
  <c r="F34" i="4"/>
  <c r="F107" i="4"/>
  <c r="F108" i="4"/>
  <c r="F172" i="4"/>
  <c r="F173" i="4"/>
  <c r="F182" i="4"/>
  <c r="F181" i="4"/>
  <c r="F102" i="4"/>
  <c r="F103" i="4"/>
  <c r="F66" i="4"/>
  <c r="F65" i="4"/>
  <c r="F61" i="4"/>
  <c r="F62" i="4"/>
  <c r="F74" i="4"/>
  <c r="F75" i="4"/>
  <c r="F25" i="4"/>
  <c r="F24" i="4"/>
  <c r="L24" i="4" s="1"/>
  <c r="F186" i="4"/>
  <c r="F185" i="4"/>
  <c r="F27" i="4"/>
  <c r="F26" i="4"/>
  <c r="L26" i="4" s="1"/>
  <c r="F188" i="4"/>
  <c r="F187" i="4"/>
  <c r="F110" i="4"/>
  <c r="F109" i="4"/>
  <c r="F30" i="4"/>
  <c r="F31" i="4"/>
  <c r="F175" i="4"/>
  <c r="F174" i="4"/>
  <c r="F99" i="4"/>
  <c r="F98" i="4"/>
  <c r="F28" i="4"/>
  <c r="F29" i="4"/>
  <c r="F35" i="4"/>
  <c r="F36" i="4"/>
  <c r="L36" i="4" s="1"/>
  <c r="F149" i="4"/>
  <c r="F148" i="4"/>
  <c r="F68" i="4"/>
  <c r="F67" i="4"/>
  <c r="F38" i="4"/>
  <c r="F37" i="4"/>
  <c r="F150" i="4"/>
  <c r="F151" i="4"/>
  <c r="F183" i="4"/>
  <c r="F184" i="4"/>
  <c r="F104" i="4"/>
  <c r="F105" i="4"/>
  <c r="F40" i="4"/>
  <c r="L40" i="4" s="1"/>
  <c r="F39" i="4"/>
  <c r="F140" i="4"/>
  <c r="F139" i="4"/>
  <c r="F177" i="4"/>
  <c r="F176" i="4"/>
  <c r="F136" i="4"/>
  <c r="F135" i="4"/>
  <c r="F141" i="4"/>
  <c r="F142" i="4"/>
  <c r="F64" i="4"/>
  <c r="F63" i="4"/>
  <c r="F178" i="4"/>
  <c r="F179" i="4"/>
  <c r="F138" i="4"/>
  <c r="F137" i="4"/>
  <c r="F77" i="4"/>
  <c r="F76" i="4"/>
  <c r="G135" i="4" l="1"/>
  <c r="G136" i="4"/>
  <c r="G30" i="4"/>
  <c r="G31" i="4"/>
  <c r="G110" i="4"/>
  <c r="G109" i="4"/>
  <c r="G144" i="4"/>
  <c r="G145" i="4"/>
  <c r="G59" i="4"/>
  <c r="G60" i="4"/>
  <c r="G29" i="4"/>
  <c r="G28" i="4"/>
  <c r="G63" i="4"/>
  <c r="G64" i="4"/>
  <c r="G73" i="4"/>
  <c r="G72" i="4"/>
  <c r="G46" i="4"/>
  <c r="G45" i="4"/>
  <c r="G27" i="4"/>
  <c r="G26" i="4"/>
  <c r="G17" i="4"/>
  <c r="G16" i="4"/>
  <c r="G101" i="4"/>
  <c r="G100" i="4"/>
  <c r="G35" i="4"/>
  <c r="G36" i="4"/>
  <c r="G149" i="4"/>
  <c r="G148" i="4"/>
  <c r="G84" i="4"/>
  <c r="G85" i="4"/>
  <c r="G43" i="4"/>
  <c r="G44" i="4"/>
  <c r="G99" i="4"/>
  <c r="G98" i="4"/>
  <c r="L38" i="4"/>
  <c r="K37" i="4" s="1"/>
  <c r="G129" i="4"/>
  <c r="G130" i="4"/>
  <c r="G93" i="4"/>
  <c r="G92" i="4"/>
  <c r="G183" i="4"/>
  <c r="G184" i="4"/>
  <c r="G172" i="4"/>
  <c r="G173" i="4"/>
  <c r="G21" i="4"/>
  <c r="G20" i="4"/>
  <c r="G167" i="4"/>
  <c r="G166" i="4"/>
  <c r="G75" i="4"/>
  <c r="G74" i="4"/>
  <c r="G58" i="4"/>
  <c r="G57" i="4"/>
  <c r="G159" i="4"/>
  <c r="G158" i="4"/>
  <c r="G40" i="4"/>
  <c r="G39" i="4"/>
  <c r="G190" i="4"/>
  <c r="G189" i="4"/>
  <c r="G62" i="4"/>
  <c r="G61" i="4"/>
  <c r="G71" i="4"/>
  <c r="G70" i="4"/>
  <c r="G137" i="4"/>
  <c r="G138" i="4"/>
  <c r="G157" i="4"/>
  <c r="G156" i="4"/>
  <c r="G37" i="4"/>
  <c r="G38" i="4"/>
  <c r="G192" i="4"/>
  <c r="G191" i="4"/>
  <c r="G107" i="4"/>
  <c r="G108" i="4"/>
  <c r="G147" i="4"/>
  <c r="G146" i="4"/>
  <c r="G83" i="4"/>
  <c r="G82" i="4"/>
  <c r="G142" i="4"/>
  <c r="G141" i="4"/>
  <c r="G41" i="4"/>
  <c r="G42" i="4"/>
  <c r="G112" i="4"/>
  <c r="G111" i="4"/>
  <c r="G140" i="4"/>
  <c r="G139" i="4"/>
  <c r="G48" i="4"/>
  <c r="G47" i="4"/>
  <c r="G25" i="4"/>
  <c r="G24" i="4"/>
  <c r="G114" i="4"/>
  <c r="G113" i="4"/>
  <c r="G19" i="4"/>
  <c r="G18" i="4"/>
  <c r="G34" i="4"/>
  <c r="G33" i="4"/>
  <c r="G150" i="4"/>
  <c r="G151" i="4"/>
  <c r="G131" i="4"/>
  <c r="G132" i="4"/>
  <c r="G128" i="4"/>
  <c r="G127" i="4"/>
  <c r="G105" i="4"/>
  <c r="G104" i="4"/>
  <c r="G66" i="4"/>
  <c r="G65" i="4"/>
  <c r="G90" i="4"/>
  <c r="G91" i="4"/>
  <c r="G193" i="4"/>
  <c r="G194" i="4"/>
  <c r="G81" i="4"/>
  <c r="G80" i="4"/>
  <c r="G182" i="4"/>
  <c r="G181" i="4"/>
  <c r="G95" i="4"/>
  <c r="G94" i="4"/>
  <c r="G116" i="4"/>
  <c r="G115" i="4"/>
  <c r="G133" i="4"/>
  <c r="G134" i="4"/>
  <c r="G103" i="4"/>
  <c r="G102" i="4"/>
  <c r="G68" i="4"/>
  <c r="G67" i="4"/>
  <c r="G196" i="4"/>
  <c r="G195" i="4"/>
  <c r="G79" i="4"/>
  <c r="G78" i="4"/>
  <c r="G96" i="4"/>
  <c r="G97" i="4"/>
  <c r="G118" i="4"/>
  <c r="G117" i="4"/>
  <c r="L28" i="4"/>
  <c r="G179" i="4"/>
  <c r="G178" i="4"/>
  <c r="G188" i="4"/>
  <c r="G187" i="4"/>
  <c r="G152" i="4"/>
  <c r="G153" i="4"/>
  <c r="G168" i="4"/>
  <c r="G169" i="4"/>
  <c r="G56" i="4"/>
  <c r="G55" i="4"/>
  <c r="G120" i="4"/>
  <c r="G119" i="4"/>
  <c r="L31" i="4"/>
  <c r="G176" i="4"/>
  <c r="G177" i="4"/>
  <c r="G175" i="4"/>
  <c r="G174" i="4"/>
  <c r="G186" i="4"/>
  <c r="G185" i="4"/>
  <c r="G154" i="4"/>
  <c r="G155" i="4"/>
  <c r="G170" i="4"/>
  <c r="G171" i="4"/>
  <c r="G23" i="4"/>
  <c r="G22" i="4"/>
  <c r="G54" i="4"/>
  <c r="G53" i="4"/>
  <c r="G164" i="4"/>
  <c r="G165" i="4"/>
  <c r="G122" i="4"/>
  <c r="G121" i="4"/>
  <c r="G77" i="4"/>
  <c r="G76" i="4"/>
  <c r="K27" i="4"/>
  <c r="L172" i="4"/>
  <c r="L63" i="4"/>
  <c r="L149" i="4"/>
  <c r="L188" i="4"/>
  <c r="L114" i="4"/>
  <c r="L147" i="4"/>
  <c r="L61" i="4"/>
  <c r="L139" i="4"/>
  <c r="L176" i="4"/>
  <c r="L112" i="4"/>
  <c r="L75" i="4"/>
  <c r="L144" i="4"/>
  <c r="L179" i="4"/>
  <c r="L137" i="4"/>
  <c r="L77" i="4"/>
  <c r="L186" i="4"/>
  <c r="L65" i="4"/>
  <c r="L100" i="4"/>
  <c r="L107" i="4"/>
  <c r="L102" i="4"/>
  <c r="L184" i="4"/>
  <c r="L151" i="4"/>
  <c r="L110" i="4"/>
  <c r="L98" i="4"/>
  <c r="L105" i="4"/>
  <c r="L70" i="4"/>
  <c r="L174" i="4"/>
  <c r="K35" i="4"/>
  <c r="L181" i="4"/>
  <c r="L73" i="4"/>
  <c r="L142" i="4"/>
  <c r="L135" i="4"/>
  <c r="L68" i="4"/>
  <c r="K29" i="4" l="1"/>
  <c r="J30" i="4" s="1"/>
  <c r="I31" i="4" s="1"/>
  <c r="J34" i="4"/>
  <c r="I33" i="4" s="1"/>
  <c r="H32" i="4" s="1"/>
  <c r="H31" i="4" s="1"/>
  <c r="K103" i="4"/>
  <c r="K111" i="4"/>
  <c r="K72" i="4"/>
  <c r="K183" i="4"/>
  <c r="K138" i="4"/>
  <c r="K185" i="4"/>
  <c r="K101" i="4"/>
  <c r="K146" i="4"/>
  <c r="K109" i="4"/>
  <c r="K66" i="4"/>
  <c r="K140" i="4"/>
  <c r="K148" i="4"/>
  <c r="K175" i="4"/>
  <c r="K177" i="4"/>
  <c r="K64" i="4"/>
  <c r="K74" i="4"/>
  <c r="J104" i="4" l="1"/>
  <c r="I105" i="4" s="1"/>
  <c r="J108" i="4"/>
  <c r="I107" i="4" s="1"/>
  <c r="H106" i="4" s="1"/>
  <c r="J71" i="4"/>
  <c r="I70" i="4" s="1"/>
  <c r="H69" i="4" s="1"/>
  <c r="J182" i="4"/>
  <c r="I181" i="4" s="1"/>
  <c r="H180" i="4" s="1"/>
  <c r="J141" i="4"/>
  <c r="I142" i="4" s="1"/>
  <c r="J178" i="4"/>
  <c r="I179" i="4" s="1"/>
  <c r="J67" i="4"/>
  <c r="I68" i="4" s="1"/>
  <c r="J145" i="4"/>
  <c r="I144" i="4" s="1"/>
  <c r="H143" i="4" s="1"/>
</calcChain>
</file>

<file path=xl/sharedStrings.xml><?xml version="1.0" encoding="utf-8"?>
<sst xmlns="http://schemas.openxmlformats.org/spreadsheetml/2006/main" count="49" uniqueCount="34">
  <si>
    <t>Price</t>
  </si>
  <si>
    <t>PV</t>
  </si>
  <si>
    <t>Fwds</t>
  </si>
  <si>
    <t>Cash Eq.</t>
  </si>
  <si>
    <t>DV10+</t>
  </si>
  <si>
    <t>DV10-</t>
  </si>
  <si>
    <t>Z(t)</t>
  </si>
  <si>
    <t>YR</t>
  </si>
  <si>
    <t>Threefy σ(t)</t>
  </si>
  <si>
    <t>Adj z(t)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</si>
  <si>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</si>
  <si>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</si>
  <si>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</si>
  <si>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</si>
  <si>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</si>
  <si>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</si>
  <si>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</si>
  <si>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Vega(d)</t>
  </si>
  <si>
    <t>Vega+1</t>
  </si>
  <si>
    <t>Vega-1</t>
  </si>
  <si>
    <t>ZV BP</t>
  </si>
  <si>
    <t>z(t)</t>
  </si>
  <si>
    <t>Threefy σ(t)+.1%</t>
  </si>
  <si>
    <t>Threefy σ(t)-.1%</t>
  </si>
  <si>
    <t>Put Cost BP</t>
  </si>
  <si>
    <t>Fut Imp σ</t>
  </si>
  <si>
    <t>Fut Mkt Price</t>
  </si>
  <si>
    <t>Put Cost US$</t>
  </si>
  <si>
    <t>5-Factor HJM Forward Rate Curve w. stationary calibration</t>
  </si>
  <si>
    <t>by Mr. Thomas Madison Glimp, 10/17/2025.</t>
  </si>
  <si>
    <t xml:space="preserve"># Stationary fitted coeffecients </t>
  </si>
  <si>
    <t>Far Fwd Price</t>
  </si>
  <si>
    <t># 0 spot rates</t>
  </si>
  <si>
    <t xml:space="preserve"># Calibrated 0 implied volatility rates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</si>
</sst>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000000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166" fontId="3" fillId="7" borderId="0" xfId="0" applyNumberFormat="1" applyFont="1" applyFill="1"/>
    <xf numFmtId="166" fontId="4" fillId="6" borderId="0" xfId="0" applyNumberFormat="1" applyFont="1" applyFill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2" fontId="9" fillId="7" borderId="0" xfId="0" applyNumberFormat="1" applyFont="1" applyFill="1"/>
    <xf numFmtId="44" fontId="3" fillId="7" borderId="0" xfId="2" applyFont="1" applyFill="1"/>
    <xf numFmtId="2" fontId="0" fillId="7" borderId="0" xfId="0" applyNumberFormat="1" applyFill="1"/>
    <xf numFmtId="167" fontId="7" fillId="2" borderId="0" xfId="0" applyNumberFormat="1" applyFont="1" applyFill="1" applyAlignment="1">
      <alignment horizontal="center"/>
    </xf>
    <xf numFmtId="0" fontId="13" fillId="0" borderId="0" xfId="0" applyFont="1"/>
    <xf numFmtId="10" fontId="4" fillId="4" borderId="0" xfId="0" applyNumberFormat="1" applyFont="1" applyFill="1" applyAlignment="1">
      <alignment horizontal="left"/>
    </xf>
    <xf numFmtId="0" fontId="9" fillId="7" borderId="0" xfId="0" applyFont="1" applyFill="1"/>
    <xf numFmtId="1" fontId="9" fillId="7" borderId="0" xfId="0" applyNumberFormat="1" applyFont="1" applyFill="1"/>
    <xf numFmtId="165" fontId="3" fillId="7" borderId="0" xfId="0" applyNumberFormat="1" applyFont="1" applyFill="1" applyAlignment="1">
      <alignment horizontal="left"/>
    </xf>
    <xf numFmtId="165" fontId="9" fillId="7" borderId="0" xfId="0" applyNumberFormat="1" applyFont="1" applyFill="1"/>
    <xf numFmtId="0" fontId="9" fillId="7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1" fontId="3" fillId="6" borderId="0" xfId="1" applyNumberFormat="1" applyFont="1" applyFill="1" applyBorder="1" applyAlignment="1">
      <alignment horizontal="left"/>
    </xf>
    <xf numFmtId="0" fontId="9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4" borderId="2" xfId="0" quotePrefix="1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3" fillId="2" borderId="0" xfId="0" applyFont="1" applyFill="1"/>
    <xf numFmtId="0" fontId="11" fillId="2" borderId="0" xfId="0" applyFont="1" applyFill="1"/>
    <xf numFmtId="0" fontId="11" fillId="0" borderId="0" xfId="0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N196"/>
  <sheetViews>
    <sheetView tabSelected="1" zoomScale="34" zoomScaleNormal="85" workbookViewId="0">
      <selection activeCell="H15" sqref="H15"/>
    </sheetView>
  </sheetViews>
  <sheetFormatPr defaultRowHeight="14.5" x14ac:dyDescent="0.35"/>
  <cols>
    <col min="1" max="1" width="14" style="1" customWidth="1"/>
    <col min="2" max="2" width="8.7265625" style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6384" width="8.7265625" style="1"/>
  </cols>
  <sheetData>
    <row r="1" spans="1:14" x14ac:dyDescent="0.35">
      <c r="A1" s="29" t="s">
        <v>28</v>
      </c>
    </row>
    <row r="2" spans="1:14" x14ac:dyDescent="0.35">
      <c r="A2" t="s">
        <v>29</v>
      </c>
    </row>
    <row r="3" spans="1:14" x14ac:dyDescent="0.35">
      <c r="A3"/>
    </row>
    <row r="4" spans="1:14" x14ac:dyDescent="0.35">
      <c r="A4" s="35" t="s">
        <v>25</v>
      </c>
      <c r="B4" s="31">
        <v>2E-3</v>
      </c>
    </row>
    <row r="5" spans="1:14" x14ac:dyDescent="0.35">
      <c r="A5" s="31" t="s">
        <v>26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31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</row>
    <row r="6" spans="1:14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124.62008250061317</v>
      </c>
      <c r="H6" s="33">
        <f>SUM(I6:N6)</f>
        <v>102.30088443349428</v>
      </c>
      <c r="I6" s="34">
        <f>$B$7/(1+B$14+$D$8/10000)^I$5</f>
        <v>4.8177952642007975</v>
      </c>
      <c r="J6" s="34">
        <f>$B$7/(1+C$14+$D$8/10000)^J$5</f>
        <v>4.6306224730599048</v>
      </c>
      <c r="K6" s="34">
        <f>$B$7/(1+D$14+$D$8/10000)^K$5</f>
        <v>4.4614470846320282</v>
      </c>
      <c r="L6" s="34">
        <f>$B$7/(1+E$14+$D$8/10000)^L$5</f>
        <v>4.290183757961282</v>
      </c>
      <c r="M6" s="34">
        <f>$B$7/(1+F$14+$D$8/10000)^M$5</f>
        <v>4.1191494872648704</v>
      </c>
      <c r="N6" s="34">
        <f>(100+$B$12)/(1+$G$14+D8/10000)^N5</f>
        <v>79.981686366375385</v>
      </c>
    </row>
    <row r="7" spans="1:14" x14ac:dyDescent="0.35">
      <c r="A7" s="31" t="s">
        <v>11</v>
      </c>
      <c r="B7" s="31">
        <v>5</v>
      </c>
      <c r="C7" s="31" t="s">
        <v>20</v>
      </c>
      <c r="D7" s="18"/>
      <c r="E7" s="31" t="s">
        <v>18</v>
      </c>
      <c r="F7" s="18"/>
      <c r="G7" s="17" t="s">
        <v>2</v>
      </c>
      <c r="H7" s="34" t="s">
        <v>2</v>
      </c>
      <c r="I7" s="12">
        <f>B14</f>
        <v>3.1619111399999997E-2</v>
      </c>
      <c r="J7" s="12">
        <f>B15/C15-1</f>
        <v>3.4220664294160263E-2</v>
      </c>
      <c r="K7" s="12">
        <f>C15/D15-1</f>
        <v>3.171940094512804E-2</v>
      </c>
      <c r="L7" s="12">
        <f>D15/E15-1</f>
        <v>3.3719814566607109E-2</v>
      </c>
      <c r="M7" s="12">
        <f>E15/F15-1</f>
        <v>3.5321758506419609E-2</v>
      </c>
      <c r="N7" s="12">
        <f>F15/G15-1</f>
        <v>2.4351761088534207E-2</v>
      </c>
    </row>
    <row r="8" spans="1:14" x14ac:dyDescent="0.35">
      <c r="A8" s="31" t="s">
        <v>3</v>
      </c>
      <c r="B8" s="31">
        <f>B5*B6</f>
        <v>100.78139400000001</v>
      </c>
      <c r="C8" s="31" t="s">
        <v>24</v>
      </c>
      <c r="D8" s="11">
        <v>62</v>
      </c>
      <c r="E8" s="31" t="s">
        <v>19</v>
      </c>
      <c r="F8" s="18"/>
      <c r="G8" s="17" t="s">
        <v>1</v>
      </c>
      <c r="H8" s="34" t="s">
        <v>1</v>
      </c>
      <c r="I8" s="26">
        <f t="shared" ref="I8:N8" si="0">1/(1+I7+$D$8/10000)</f>
        <v>0.96355905284015952</v>
      </c>
      <c r="J8" s="26">
        <f t="shared" si="0"/>
        <v>0.96114969100351122</v>
      </c>
      <c r="K8" s="26">
        <f t="shared" si="0"/>
        <v>0.9634659484054362</v>
      </c>
      <c r="L8" s="26">
        <f t="shared" si="0"/>
        <v>0.96161260319552244</v>
      </c>
      <c r="M8" s="26">
        <f t="shared" si="0"/>
        <v>0.96013356594108668</v>
      </c>
      <c r="N8" s="26">
        <f t="shared" si="0"/>
        <v>0.97035397711972904</v>
      </c>
    </row>
    <row r="9" spans="1:14" x14ac:dyDescent="0.35">
      <c r="A9" s="31" t="s">
        <v>16</v>
      </c>
      <c r="B9" s="31">
        <v>-984.07</v>
      </c>
      <c r="C9" s="31" t="s">
        <v>27</v>
      </c>
      <c r="D9" s="27"/>
      <c r="E9" s="31" t="s">
        <v>17</v>
      </c>
      <c r="F9" s="18"/>
      <c r="G9" s="17">
        <f>(I9-B8)^2</f>
        <v>25</v>
      </c>
      <c r="H9" s="34" t="s">
        <v>0</v>
      </c>
      <c r="I9" s="25">
        <f>MIN($B$8,J9*I8)+$B$7</f>
        <v>105.78139400000001</v>
      </c>
      <c r="J9" s="25">
        <f>MIN($B$8,K9*J8)+$B$7</f>
        <v>105.78139400000001</v>
      </c>
      <c r="K9" s="25">
        <f>MIN($B$8,L9*K8)+$B$7</f>
        <v>105.78139400000001</v>
      </c>
      <c r="L9" s="25">
        <f>MIN($B$8,M9*L8)+$B$7</f>
        <v>105.78139400000001</v>
      </c>
      <c r="M9" s="25">
        <f>MIN($B$8,N9*M8)+$B$7</f>
        <v>105.78139400000001</v>
      </c>
      <c r="N9" s="25">
        <f>MIN($B$8,(100+$B$7)*N8)+$B$7</f>
        <v>105.78139400000001</v>
      </c>
    </row>
    <row r="10" spans="1:14" x14ac:dyDescent="0.35">
      <c r="G10" s="17"/>
      <c r="H10" s="14"/>
      <c r="I10" s="14"/>
      <c r="J10" s="14"/>
      <c r="K10" s="14"/>
    </row>
    <row r="11" spans="1:14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</row>
    <row r="12" spans="1:14" x14ac:dyDescent="0.35">
      <c r="A12" s="41" t="s">
        <v>6</v>
      </c>
      <c r="B12" s="6">
        <v>5.1299999999999998E-2</v>
      </c>
      <c r="C12" s="6">
        <v>5.2600000000000001E-2</v>
      </c>
      <c r="D12" s="6">
        <v>5.2200000000000003E-2</v>
      </c>
      <c r="E12" s="6">
        <v>5.2499999999999998E-2</v>
      </c>
      <c r="F12" s="6">
        <v>5.2999999999999999E-2</v>
      </c>
      <c r="G12" s="6">
        <v>5.1499999999999997E-2</v>
      </c>
      <c r="H12" s="1" t="s">
        <v>32</v>
      </c>
    </row>
    <row r="13" spans="1:14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1" t="s">
        <v>33</v>
      </c>
    </row>
    <row r="14" spans="1:14" x14ac:dyDescent="0.35">
      <c r="A14" s="41" t="s">
        <v>9</v>
      </c>
      <c r="B14" s="7">
        <f t="shared" ref="B14:G14" si="1">B12+($B$9*1+B13)/50000</f>
        <v>3.1619111399999997E-2</v>
      </c>
      <c r="C14" s="7">
        <f t="shared" si="1"/>
        <v>3.29190688E-2</v>
      </c>
      <c r="D14" s="7">
        <f t="shared" si="1"/>
        <v>3.2519024600000002E-2</v>
      </c>
      <c r="E14" s="7">
        <f t="shared" si="1"/>
        <v>3.2819091259999995E-2</v>
      </c>
      <c r="F14" s="7">
        <f t="shared" si="1"/>
        <v>3.3319140267999994E-2</v>
      </c>
      <c r="G14" s="7">
        <f t="shared" si="1"/>
        <v>3.1819143999999994E-2</v>
      </c>
      <c r="H14" s="1" t="s">
        <v>30</v>
      </c>
    </row>
    <row r="15" spans="1:14" x14ac:dyDescent="0.35">
      <c r="A15" s="41" t="s">
        <v>0</v>
      </c>
      <c r="B15" s="8">
        <f t="shared" ref="B15:G15" si="2">1/(1+B14)^B11</f>
        <v>0.96935001392414111</v>
      </c>
      <c r="C15" s="8">
        <f t="shared" si="2"/>
        <v>0.93727581297721174</v>
      </c>
      <c r="D15" s="8">
        <f t="shared" si="2"/>
        <v>0.9084600058103014</v>
      </c>
      <c r="E15" s="8">
        <f t="shared" si="2"/>
        <v>0.87882615096352623</v>
      </c>
      <c r="F15" s="8">
        <f t="shared" si="2"/>
        <v>0.84884350564730937</v>
      </c>
      <c r="G15" s="8">
        <f t="shared" si="2"/>
        <v>0.82866407604481518</v>
      </c>
      <c r="H15" s="22"/>
    </row>
    <row r="16" spans="1:14" x14ac:dyDescent="0.35">
      <c r="A16" s="42"/>
      <c r="B16" s="5"/>
      <c r="C16" s="5"/>
      <c r="D16" s="5"/>
      <c r="E16" s="5"/>
      <c r="F16" s="5"/>
      <c r="G16" s="10">
        <f>F24*EXP(10*$G$13)</f>
        <v>0.11553328808144978</v>
      </c>
      <c r="H16" s="22"/>
      <c r="M16" s="21"/>
    </row>
    <row r="17" spans="1:13" x14ac:dyDescent="0.35">
      <c r="A17" s="42"/>
      <c r="B17" s="5"/>
      <c r="C17" s="5"/>
      <c r="D17" s="5"/>
      <c r="E17" s="5"/>
      <c r="F17" s="5"/>
      <c r="G17" s="13">
        <f>(F24+$B$4)*EXP(10*$G$13)</f>
        <v>0.11815846208407199</v>
      </c>
      <c r="H17" s="22"/>
      <c r="M17" s="2">
        <f>MIN($B$8,(100+$B$7)/(1+G$14+$D$9/10000))+$B$7</f>
        <v>105.78139400000001</v>
      </c>
    </row>
    <row r="18" spans="1:13" x14ac:dyDescent="0.35">
      <c r="A18" s="42"/>
      <c r="B18" s="5"/>
      <c r="C18" s="5"/>
      <c r="D18" s="5"/>
      <c r="E18" s="5"/>
      <c r="F18" s="5"/>
      <c r="G18" s="10">
        <f>F25*EXP(10*$G$13)</f>
        <v>0.11897263354328882</v>
      </c>
      <c r="H18" s="22"/>
      <c r="M18" s="21"/>
    </row>
    <row r="19" spans="1:13" x14ac:dyDescent="0.35">
      <c r="A19" s="42"/>
      <c r="B19" s="5"/>
      <c r="C19" s="5"/>
      <c r="D19" s="5"/>
      <c r="E19" s="5"/>
      <c r="F19" s="5"/>
      <c r="G19" s="13">
        <f>(F25+$B$4)*EXP(10*$G$13)</f>
        <v>0.12159780754591104</v>
      </c>
      <c r="H19" s="22"/>
      <c r="M19" s="2">
        <f>MIN($B$8,(100+$B$7)/(1+G$14+$D$9/10000))+$B$7</f>
        <v>105.78139400000001</v>
      </c>
    </row>
    <row r="20" spans="1:13" x14ac:dyDescent="0.35">
      <c r="A20" s="42"/>
      <c r="B20" s="5"/>
      <c r="C20" s="5"/>
      <c r="D20" s="5"/>
      <c r="E20" s="5"/>
      <c r="F20" s="5"/>
      <c r="G20" s="10">
        <f>F26*EXP(10*$G$13)</f>
        <v>0.11993023835324951</v>
      </c>
      <c r="H20" s="22"/>
      <c r="M20" s="21"/>
    </row>
    <row r="21" spans="1:13" x14ac:dyDescent="0.35">
      <c r="A21" s="42"/>
      <c r="B21" s="5"/>
      <c r="C21" s="5"/>
      <c r="D21" s="5"/>
      <c r="E21" s="5"/>
      <c r="F21" s="5"/>
      <c r="G21" s="13">
        <f>(F26+$B$4)*EXP(10*$G$13)</f>
        <v>0.12255541235587172</v>
      </c>
      <c r="H21" s="22"/>
      <c r="M21" s="2">
        <f>MIN($B$8,(100+$B$7)/(1+G$14+$D$9/10000))+$B$7</f>
        <v>105.78139400000001</v>
      </c>
    </row>
    <row r="22" spans="1:13" x14ac:dyDescent="0.35">
      <c r="A22" s="42"/>
      <c r="B22" s="5"/>
      <c r="C22" s="5"/>
      <c r="D22" s="5"/>
      <c r="E22" s="5"/>
      <c r="F22" s="5"/>
      <c r="G22" s="10">
        <f>F27*EXP(10*$G$13)</f>
        <v>0.12336958381508854</v>
      </c>
      <c r="H22" s="22"/>
      <c r="M22" s="21"/>
    </row>
    <row r="23" spans="1:13" x14ac:dyDescent="0.35">
      <c r="A23" s="42"/>
      <c r="B23" s="5"/>
      <c r="C23" s="5"/>
      <c r="D23" s="5"/>
      <c r="E23" s="5"/>
      <c r="F23" s="5"/>
      <c r="G23" s="13">
        <f>(F27+$B$4)*EXP(10*$G$13)</f>
        <v>0.12599475781771077</v>
      </c>
      <c r="H23" s="20"/>
      <c r="I23" s="21"/>
      <c r="J23" s="21"/>
      <c r="K23" s="21"/>
      <c r="L23" s="21"/>
      <c r="M23" s="2">
        <f>MIN($B$8,(100+$B$7)/(1+G$14+$D$9/10000))+$B$7</f>
        <v>105.78139400000001</v>
      </c>
    </row>
    <row r="24" spans="1:13" x14ac:dyDescent="0.35">
      <c r="A24" s="42"/>
      <c r="B24" s="5"/>
      <c r="C24" s="5"/>
      <c r="D24" s="5"/>
      <c r="E24" s="5"/>
      <c r="F24" s="10">
        <f>E28*EXP(10*$F$13)</f>
        <v>8.8019527822572247E-2</v>
      </c>
      <c r="G24" s="10">
        <f>F28*EXP(10*$G$13)</f>
        <v>0.12536714996137593</v>
      </c>
      <c r="I24" s="21"/>
      <c r="J24" s="21"/>
      <c r="K24" s="21"/>
      <c r="L24" s="2">
        <f>MIN($B$8,AVERAGE(M17:M19)/(1+F24+$D$9/10000))+$B$7</f>
        <v>102.2238009474865</v>
      </c>
      <c r="M24" s="21"/>
    </row>
    <row r="25" spans="1:13" x14ac:dyDescent="0.35">
      <c r="A25" s="42"/>
      <c r="B25" s="5"/>
      <c r="C25" s="5"/>
      <c r="D25" s="5"/>
      <c r="E25" s="5"/>
      <c r="F25" s="13">
        <f>(E28+$B$4)*EXP(10*$F$13)</f>
        <v>9.0639807818034324E-2</v>
      </c>
      <c r="G25" s="13">
        <f>(F28+$B$4)*EXP(10*$G$13)</f>
        <v>0.12799232396399818</v>
      </c>
      <c r="J25" s="21"/>
      <c r="K25" s="21"/>
      <c r="L25" s="21"/>
      <c r="M25" s="2">
        <f>MIN($B$8,(100+$B$7)/(1+G$14+$D$9/10000))+$B$7</f>
        <v>105.78139400000001</v>
      </c>
    </row>
    <row r="26" spans="1:13" x14ac:dyDescent="0.35">
      <c r="A26" s="42"/>
      <c r="B26" s="5"/>
      <c r="C26" s="5"/>
      <c r="D26" s="5"/>
      <c r="E26" s="5"/>
      <c r="F26" s="10">
        <f>E29*EXP(10*$F$13)</f>
        <v>9.1369363122942998E-2</v>
      </c>
      <c r="G26" s="10">
        <f>F29*EXP(10*$G$13)</f>
        <v>0.12880649542321498</v>
      </c>
      <c r="K26" s="21"/>
      <c r="L26" s="2">
        <f>MIN($B$8,AVERAGE(M19:M21)/(1+F26+$D$9/10000))+$B$7</f>
        <v>101.92538344425168</v>
      </c>
      <c r="M26" s="21"/>
    </row>
    <row r="27" spans="1:13" x14ac:dyDescent="0.35">
      <c r="A27" s="42"/>
      <c r="B27" s="5"/>
      <c r="C27" s="5"/>
      <c r="D27" s="5"/>
      <c r="E27" s="5"/>
      <c r="F27" s="13">
        <f>(E29+$B$4)*EXP(10*$F$13)</f>
        <v>9.3989643118405061E-2</v>
      </c>
      <c r="G27" s="13">
        <f>(F29+$B$4)*EXP(10*$G$13)</f>
        <v>0.1314316694258372</v>
      </c>
      <c r="K27" s="2">
        <f>MIN($B$8,AVERAGE(L24:L26)/(1+E28+$D$9/10000))+$B$7</f>
        <v>100.64860342738106</v>
      </c>
      <c r="L27" s="21"/>
      <c r="M27" s="2">
        <f>MIN($B$8,(100+$B$7)/(1+G$14+$D$9/10000))+$B$7</f>
        <v>105.78139400000001</v>
      </c>
    </row>
    <row r="28" spans="1:13" x14ac:dyDescent="0.35">
      <c r="A28" s="42"/>
      <c r="B28" s="5"/>
      <c r="C28" s="5"/>
      <c r="D28" s="5"/>
      <c r="E28" s="10">
        <f>D29*EXP(10*$E$13)</f>
        <v>6.718329947563545E-2</v>
      </c>
      <c r="F28" s="10">
        <f>E30*EXP(10*$F$13)</f>
        <v>9.5511497398762926E-2</v>
      </c>
      <c r="G28" s="10">
        <f>F30*EXP(10*$G$13)</f>
        <v>0.12440954515141528</v>
      </c>
      <c r="K28" s="21"/>
      <c r="L28" s="2">
        <f>MIN($B$8,AVERAGE(M21:M23)/(1+F28+$D$9/10000))+$B$7</f>
        <v>101.55890810016382</v>
      </c>
      <c r="M28" s="21"/>
    </row>
    <row r="29" spans="1:13" x14ac:dyDescent="0.35">
      <c r="A29" s="42"/>
      <c r="B29" s="5"/>
      <c r="C29" s="5"/>
      <c r="D29" s="10">
        <f>C31*EXP(10*$D$13)</f>
        <v>5.2551555482641732E-2</v>
      </c>
      <c r="E29" s="13">
        <f>(D29+$B$4)*EXP(10*$E$13)</f>
        <v>6.9740152412094275E-2</v>
      </c>
      <c r="F29" s="13">
        <f>(E30+$B$4)*EXP(10*$F$13)</f>
        <v>9.8131777394224989E-2</v>
      </c>
      <c r="G29" s="13">
        <f>(F30+$B$4)*EXP(10*$G$13)</f>
        <v>0.1270347191540375</v>
      </c>
      <c r="K29" s="2">
        <f>MIN($B$8,AVERAGE(L28:L31)/(1+E31+$D$9/10000))+$B$7</f>
        <v>100.02263177756481</v>
      </c>
      <c r="L29" s="21"/>
      <c r="M29" s="2">
        <f>MIN($B$8,(100+$B$7)/(1+G$14+$D$9/10000))+$B$7</f>
        <v>105.78139400000001</v>
      </c>
    </row>
    <row r="30" spans="1:13" x14ac:dyDescent="0.35">
      <c r="A30" s="42"/>
      <c r="B30" s="5"/>
      <c r="C30" s="5"/>
      <c r="D30" s="13">
        <f>(C31+$B$4)*EXP(10*$D$13)</f>
        <v>5.5024593052794224E-2</v>
      </c>
      <c r="E30" s="13">
        <f>(D30+$B$4)*EXP(10*$E$13)</f>
        <v>7.290174909870295E-2</v>
      </c>
      <c r="F30" s="13">
        <f>(E31+$B$4)*EXP(10*$F$13)</f>
        <v>9.4781942093854266E-2</v>
      </c>
      <c r="G30" s="13">
        <f>(F31+$B$4)*EXP(10*$G$13)</f>
        <v>0.12359537369219846</v>
      </c>
      <c r="H30" s="22"/>
      <c r="J30" s="2">
        <f>MIN($B$8,AVERAGE(K27:K29)/(1+D30+$D$9/10000))+$B$7</f>
        <v>100.10263387523904</v>
      </c>
      <c r="K30" s="21"/>
      <c r="L30" s="21"/>
      <c r="M30" s="21"/>
    </row>
    <row r="31" spans="1:13" x14ac:dyDescent="0.35">
      <c r="A31" s="42"/>
      <c r="B31" s="5"/>
      <c r="C31" s="23">
        <f>(B32+$B$4)*EXP(10*$C$13)</f>
        <v>4.2499601394572713E-2</v>
      </c>
      <c r="D31" s="5"/>
      <c r="E31" s="10">
        <f>D30*EXP(10*$E$13)</f>
        <v>7.0344896162244139E-2</v>
      </c>
      <c r="F31" s="10">
        <f>E31*EXP(10*$F$13)</f>
        <v>9.2161662098392202E-2</v>
      </c>
      <c r="G31" s="10">
        <f>F31*EXP(10*$G$13)</f>
        <v>0.12097019968957624</v>
      </c>
      <c r="H31" s="28">
        <f>(H32-B8)^2</f>
        <v>4.5984800849382385E-8</v>
      </c>
      <c r="I31" s="2">
        <f>MIN($B$8,AVERAGE(J30:J30)/(1+C31+$D$9/10000))+$B$7</f>
        <v>101.02174786573514</v>
      </c>
      <c r="J31" s="21"/>
      <c r="K31" s="21"/>
      <c r="L31" s="2">
        <f>MIN($B$8,AVERAGE(M24:M26)/(1+F31+$D$9/10000))+$B$7</f>
        <v>101.85506978587775</v>
      </c>
      <c r="M31" s="2">
        <f>MIN($B$8,(100+$B$7)/(1+G$14+$D$9/10000))+$B$7</f>
        <v>105.78139400000001</v>
      </c>
    </row>
    <row r="32" spans="1:13" x14ac:dyDescent="0.35">
      <c r="A32" s="42"/>
      <c r="B32" s="10">
        <f>B14</f>
        <v>3.1619111399999997E-2</v>
      </c>
      <c r="C32" s="19"/>
      <c r="D32" s="5"/>
      <c r="E32" s="5"/>
      <c r="F32" s="5"/>
      <c r="G32" s="5"/>
      <c r="H32" s="3">
        <f>AVERAGE(I32:I33)/(1+B32+$D$8/10000)</f>
        <v>100.78117955933024</v>
      </c>
    </row>
    <row r="33" spans="1:13" x14ac:dyDescent="0.35">
      <c r="A33" s="42"/>
      <c r="B33" s="5"/>
      <c r="C33" s="23">
        <f>(B32-$B$4)*EXP(10*$C$13)</f>
        <v>3.7443001190133912E-2</v>
      </c>
      <c r="D33" s="5"/>
      <c r="E33" s="10">
        <f>D34*EXP(10*$E$13)</f>
        <v>5.6028237563097515E-2</v>
      </c>
      <c r="F33" s="10">
        <f>E33*EXP(10*$F$13)</f>
        <v>7.3404835033790292E-2</v>
      </c>
      <c r="G33" s="10">
        <f>F33*EXP(10*$G$13)</f>
        <v>9.6350232298739388E-2</v>
      </c>
      <c r="H33" s="22"/>
      <c r="I33" s="2">
        <f>MIN($B$8,AVERAGE(J34:J34)/(1+C33+$D$9/10000))+$B$7</f>
        <v>104.59263421610795</v>
      </c>
      <c r="J33" s="21"/>
      <c r="K33" s="21"/>
      <c r="L33" s="2">
        <f>MIN($B$8,AVERAGE(M26:M28)/(1+F33+$D$9/10000))+$B$7</f>
        <v>103.54752889823722</v>
      </c>
      <c r="M33" s="2">
        <f>MIN($B$8,(100+$B$7)/(1+G$14+$D$9/10000))+$B$7</f>
        <v>105.78139400000001</v>
      </c>
    </row>
    <row r="34" spans="1:13" x14ac:dyDescent="0.35">
      <c r="A34" s="42"/>
      <c r="B34" s="5"/>
      <c r="C34" s="5"/>
      <c r="D34" s="24">
        <f>(C33-$B$4)*EXP(10*$D$13)</f>
        <v>4.3825936771080286E-2</v>
      </c>
      <c r="E34" s="23">
        <f>(D34-$B$4)*EXP(10*$E$13)</f>
        <v>5.3471384626638696E-2</v>
      </c>
      <c r="F34" s="23">
        <f>(E33-$B$4)*EXP(10*$E$13)</f>
        <v>6.9071128932450196E-2</v>
      </c>
      <c r="G34" s="23">
        <f>(F33-$B$4)*EXP(10*$G$13)</f>
        <v>9.3725058296117172E-2</v>
      </c>
      <c r="H34" s="22"/>
      <c r="J34" s="2">
        <f>MIN($B$8,AVERAGE(K35:K37)/(1+D35+$D$9/10000))+$B$7</f>
        <v>103.32168133759025</v>
      </c>
      <c r="K34" s="21"/>
      <c r="L34" s="21"/>
      <c r="M34" s="21"/>
    </row>
    <row r="35" spans="1:13" x14ac:dyDescent="0.35">
      <c r="A35" s="42"/>
      <c r="B35" s="5"/>
      <c r="C35" s="5"/>
      <c r="D35" s="10">
        <f>C33*EXP(10*$D$13)</f>
        <v>4.6298974341232778E-2</v>
      </c>
      <c r="E35" s="23">
        <f>(D35-$B$4)*EXP(10*$E$13)</f>
        <v>5.6632981313247385E-2</v>
      </c>
      <c r="F35" s="23">
        <f>(E34-$B$4)*EXP(10*$E$13)</f>
        <v>6.5802380463111154E-2</v>
      </c>
      <c r="G35" s="23">
        <f>(F34-$B$4)*EXP(10*$G$13)</f>
        <v>8.8036691999995517E-2</v>
      </c>
      <c r="H35" s="22"/>
      <c r="K35" s="2">
        <f>MIN($B$8,AVERAGE(L33:L36)/(1+E33+$D$9/10000))+$B$7</f>
        <v>103.19981892926042</v>
      </c>
      <c r="L35" s="21"/>
      <c r="M35" s="2">
        <f>MIN($B$8,(100+$B$7)/(1+G$14+$D$9/10000))+$B$7</f>
        <v>105.78139400000001</v>
      </c>
    </row>
    <row r="36" spans="1:13" x14ac:dyDescent="0.35">
      <c r="A36" s="42"/>
      <c r="B36" s="5"/>
      <c r="C36" s="5"/>
      <c r="D36" s="5"/>
      <c r="E36" s="10">
        <f>D35*EXP(10*$E$13)</f>
        <v>5.9189834249706204E-2</v>
      </c>
      <c r="F36" s="10">
        <f>E34*EXP(10*$F$13)</f>
        <v>7.005499973341954E-2</v>
      </c>
      <c r="G36" s="10">
        <f>F34*EXP(10*$G$13)</f>
        <v>9.0661866002617733E-2</v>
      </c>
      <c r="H36" s="22"/>
      <c r="K36" s="21"/>
      <c r="L36" s="2">
        <f>MIN($B$8,AVERAGE(M29:M31)/(1+F36+$D$9/10000))+$B$7</f>
        <v>103.85603452752719</v>
      </c>
      <c r="M36" s="21"/>
    </row>
    <row r="37" spans="1:13" x14ac:dyDescent="0.35">
      <c r="A37" s="42"/>
      <c r="B37" s="5"/>
      <c r="C37" s="5"/>
      <c r="D37" s="5"/>
      <c r="E37" s="5"/>
      <c r="F37" s="23">
        <f>(E35-$B$4)*EXP(10*$E$13)</f>
        <v>6.9844249349138091E-2</v>
      </c>
      <c r="G37" s="23">
        <f>(F35-$B$4)*EXP(10*$G$13)</f>
        <v>8.3746175248585505E-2</v>
      </c>
      <c r="H37" s="20"/>
      <c r="I37" s="21"/>
      <c r="J37" s="21"/>
      <c r="K37" s="2">
        <f>MIN($B$8,AVERAGE(L38:L40)/(1+E36+$D$9/10000))+$B$7</f>
        <v>102.54792974879199</v>
      </c>
      <c r="L37" s="21"/>
      <c r="M37" s="2">
        <f>MIN($B$8,(100+$B$7)/(1+G$14+$D$9/10000))+$B$7</f>
        <v>105.78139400000001</v>
      </c>
    </row>
    <row r="38" spans="1:13" x14ac:dyDescent="0.35">
      <c r="A38" s="42"/>
      <c r="B38" s="5"/>
      <c r="C38" s="5"/>
      <c r="D38" s="5"/>
      <c r="E38" s="5"/>
      <c r="F38" s="10">
        <f>E35*EXP(10*$F$13)</f>
        <v>7.4197134009239496E-2</v>
      </c>
      <c r="G38" s="10">
        <f>F35*EXP(10*$G$13)</f>
        <v>8.6371349251207721E-2</v>
      </c>
      <c r="I38" s="21"/>
      <c r="J38" s="21"/>
      <c r="K38" s="21"/>
      <c r="L38" s="2">
        <f>MIN($B$8,AVERAGE(M31:M33)/(1+F38+$D$9/10000))+$B$7</f>
        <v>103.4748428858591</v>
      </c>
      <c r="M38" s="21"/>
    </row>
    <row r="39" spans="1:13" x14ac:dyDescent="0.35">
      <c r="A39" s="42"/>
      <c r="B39" s="5"/>
      <c r="C39" s="5"/>
      <c r="D39" s="5"/>
      <c r="E39" s="5"/>
      <c r="F39" s="23">
        <f>(E36-$B$4)*EXP(10*$E$13)</f>
        <v>7.3112997818477132E-2</v>
      </c>
      <c r="G39" s="23">
        <f>(F36-$B$4)*EXP(10*$G$13)</f>
        <v>8.9328108024317426E-2</v>
      </c>
      <c r="J39" s="21"/>
      <c r="K39" s="21"/>
      <c r="L39" s="21"/>
      <c r="M39" s="2">
        <f>MIN($B$8,(100+$B$7)/(1+G$14+$D$9/10000))+$B$7</f>
        <v>105.78139400000001</v>
      </c>
    </row>
    <row r="40" spans="1:13" x14ac:dyDescent="0.35">
      <c r="A40" s="42"/>
      <c r="B40" s="5"/>
      <c r="C40" s="5"/>
      <c r="D40" s="5"/>
      <c r="E40" s="5"/>
      <c r="F40" s="10">
        <f>E36*EXP(10*$F$13)</f>
        <v>7.7546969309610234E-2</v>
      </c>
      <c r="G40" s="10">
        <f>F36*EXP(10*$G$13)</f>
        <v>9.1953282026939642E-2</v>
      </c>
      <c r="K40" s="21"/>
      <c r="L40" s="2">
        <f>MIN($B$8,AVERAGE(M33:M35)/(1+F40+$D$9/10000))+$B$7</f>
        <v>103.16870819819081</v>
      </c>
      <c r="M40" s="21"/>
    </row>
    <row r="41" spans="1:13" x14ac:dyDescent="0.35">
      <c r="A41" s="42"/>
      <c r="B41" s="5"/>
      <c r="C41" s="5"/>
      <c r="D41" s="5"/>
      <c r="E41" s="5"/>
      <c r="F41" s="5"/>
      <c r="G41" s="23">
        <f>(F37-$B$4)*EXP(10*$G$13)</f>
        <v>8.9051479809388268E-2</v>
      </c>
      <c r="L41" s="21"/>
      <c r="M41" s="2">
        <f>MIN($B$8,(100+$B$7)/(1+G$14+$D$9/10000))+$B$7</f>
        <v>105.78139400000001</v>
      </c>
    </row>
    <row r="42" spans="1:13" x14ac:dyDescent="0.35">
      <c r="A42" s="42"/>
      <c r="B42" s="5"/>
      <c r="C42" s="5"/>
      <c r="D42" s="5"/>
      <c r="E42" s="5"/>
      <c r="F42" s="5"/>
      <c r="G42" s="10">
        <f>F37*EXP(10*$G$13)</f>
        <v>9.1676653812010497E-2</v>
      </c>
      <c r="M42" s="21"/>
    </row>
    <row r="43" spans="1:13" x14ac:dyDescent="0.35">
      <c r="A43" s="42"/>
      <c r="B43" s="5"/>
      <c r="C43" s="5"/>
      <c r="D43" s="5"/>
      <c r="E43" s="5"/>
      <c r="F43" s="5"/>
      <c r="G43" s="23">
        <f>(F38-0.001)*EXP(10*$G$13)</f>
        <v>9.6077606633755003E-2</v>
      </c>
      <c r="M43" s="2">
        <f>MIN($B$8,(100+$B$7)/(1+G$14+$D$9/10000))+$B$7</f>
        <v>105.78139400000001</v>
      </c>
    </row>
    <row r="44" spans="1:13" x14ac:dyDescent="0.35">
      <c r="A44" s="42"/>
      <c r="B44" s="5"/>
      <c r="C44" s="5"/>
      <c r="D44" s="5"/>
      <c r="E44" s="5"/>
      <c r="F44" s="5"/>
      <c r="G44" s="10">
        <f>F38*EXP(10*$G$13)</f>
        <v>9.7390193635066125E-2</v>
      </c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23">
        <f>(F39-$B$4)*EXP(10*$G$13)</f>
        <v>9.3341996560798279E-2</v>
      </c>
      <c r="H45" s="22"/>
      <c r="M45" s="2">
        <f>MIN($B$8,(100+$B$7)/(1+G$14+$D$9/10000))+$B$7</f>
        <v>105.78139400000001</v>
      </c>
    </row>
    <row r="46" spans="1:13" x14ac:dyDescent="0.35">
      <c r="A46" s="42"/>
      <c r="B46" s="5"/>
      <c r="C46" s="5"/>
      <c r="D46" s="5"/>
      <c r="E46" s="5"/>
      <c r="F46" s="5"/>
      <c r="G46" s="10">
        <f>F39*EXP(10*$G$13)</f>
        <v>9.5967170563420495E-2</v>
      </c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23">
        <f>(F40-$B$4)*EXP(10*$G$13)</f>
        <v>9.9161969904243627E-2</v>
      </c>
      <c r="H47" s="22"/>
      <c r="M47" s="2">
        <f>MIN($B$8,(100+$B$7)/(1+G$14+$D$9/10000))+$B$7</f>
        <v>105.78139400000001</v>
      </c>
    </row>
    <row r="48" spans="1:13" x14ac:dyDescent="0.35">
      <c r="A48" s="42"/>
      <c r="B48" s="5"/>
      <c r="C48" s="5"/>
      <c r="D48" s="5"/>
      <c r="E48" s="5"/>
      <c r="F48" s="5"/>
      <c r="G48" s="10">
        <f>F40*EXP(10*$G$13)</f>
        <v>0.10178714390686584</v>
      </c>
      <c r="H48" s="22"/>
      <c r="M48" s="21"/>
    </row>
    <row r="49" spans="1:13" x14ac:dyDescent="0.35">
      <c r="A49" s="36" t="s">
        <v>7</v>
      </c>
      <c r="B49" s="37">
        <v>1</v>
      </c>
      <c r="C49" s="37">
        <v>2</v>
      </c>
      <c r="D49" s="37">
        <v>3</v>
      </c>
      <c r="E49" s="37">
        <v>4</v>
      </c>
      <c r="F49" s="37">
        <v>5</v>
      </c>
      <c r="G49" s="37">
        <v>6</v>
      </c>
    </row>
    <row r="50" spans="1:13" x14ac:dyDescent="0.35">
      <c r="A50" s="43" t="s">
        <v>21</v>
      </c>
      <c r="B50" s="30">
        <v>4.2299999999999997E-2</v>
      </c>
      <c r="C50" s="6">
        <v>4.3452240693330778E-2</v>
      </c>
      <c r="D50" s="6">
        <v>3.8582243402473952E-2</v>
      </c>
      <c r="E50" s="6">
        <v>3.34638209012173E-2</v>
      </c>
      <c r="F50" s="6">
        <v>2.4968299866598511E-2</v>
      </c>
      <c r="G50" s="6">
        <v>2.8159134817517101E-2</v>
      </c>
      <c r="H50"/>
    </row>
    <row r="51" spans="1:13" x14ac:dyDescent="0.35">
      <c r="A51" s="41" t="s">
        <v>15</v>
      </c>
      <c r="B51" s="7">
        <f t="shared" ref="B51:G51" si="3">B14+0.001</f>
        <v>3.2619111399999998E-2</v>
      </c>
      <c r="C51" s="7">
        <f t="shared" si="3"/>
        <v>3.39190688E-2</v>
      </c>
      <c r="D51" s="7">
        <f t="shared" si="3"/>
        <v>3.3519024600000003E-2</v>
      </c>
      <c r="E51" s="7">
        <f t="shared" si="3"/>
        <v>3.3819091259999996E-2</v>
      </c>
      <c r="F51" s="7">
        <f t="shared" si="3"/>
        <v>3.4319140267999995E-2</v>
      </c>
      <c r="G51" s="7">
        <f t="shared" si="3"/>
        <v>3.2819143999999995E-2</v>
      </c>
    </row>
    <row r="52" spans="1:13" x14ac:dyDescent="0.35">
      <c r="A52" s="41" t="s">
        <v>0</v>
      </c>
      <c r="B52" s="8">
        <f>1/(1+B51)^B13</f>
        <v>0.99917958060616485</v>
      </c>
      <c r="C52" s="8">
        <f t="shared" ref="C52:G52" si="4">1/(1+C51)^C13</f>
        <v>0.99921842915532233</v>
      </c>
      <c r="D52" s="8">
        <f t="shared" si="4"/>
        <v>0.99930030224990407</v>
      </c>
      <c r="E52" s="8">
        <f t="shared" si="4"/>
        <v>0.99918337313720096</v>
      </c>
      <c r="F52" s="8">
        <f t="shared" si="4"/>
        <v>0.99908889203143803</v>
      </c>
      <c r="G52" s="8">
        <f t="shared" si="4"/>
        <v>0.99912204061007348</v>
      </c>
      <c r="M52"/>
    </row>
    <row r="53" spans="1:13" x14ac:dyDescent="0.35">
      <c r="A53" s="42"/>
      <c r="B53" s="5"/>
      <c r="C53" s="5"/>
      <c r="D53" s="5"/>
      <c r="E53" s="5"/>
      <c r="F53" s="5"/>
      <c r="G53" s="10">
        <f>F61*EXP(10*$G$13)</f>
        <v>0.1189698241250958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13">
        <f>(F61+$B$4)*EXP(10*$G$13)</f>
        <v>0.12159499812771801</v>
      </c>
      <c r="H54" s="22"/>
      <c r="M54" s="2">
        <f>MIN($B$8,(100+$B$7)/(1+G$51+$D$9/10000))+$B$7</f>
        <v>105.78139400000001</v>
      </c>
    </row>
    <row r="55" spans="1:13" x14ac:dyDescent="0.35">
      <c r="A55" s="42"/>
      <c r="B55" s="5"/>
      <c r="C55" s="5"/>
      <c r="D55" s="5"/>
      <c r="E55" s="5"/>
      <c r="F55" s="5"/>
      <c r="G55" s="10">
        <f>F62*EXP(10*$G$13)</f>
        <v>0.12240916958693483</v>
      </c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13">
        <f>(F62+$B$4)*EXP(10*$G$13)</f>
        <v>0.12503434358955703</v>
      </c>
      <c r="H56" s="22"/>
      <c r="M56" s="2">
        <f>MIN($B$8,(100+$B$7)/(1+G$51+$D$9/10000))+$B$7</f>
        <v>105.78139400000001</v>
      </c>
    </row>
    <row r="57" spans="1:13" x14ac:dyDescent="0.35">
      <c r="A57" s="42"/>
      <c r="B57" s="5"/>
      <c r="C57" s="5"/>
      <c r="D57" s="5"/>
      <c r="E57" s="5"/>
      <c r="F57" s="5"/>
      <c r="G57" s="10">
        <f>F63*EXP(10*$G$13)</f>
        <v>0.12336677439689553</v>
      </c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13">
        <f>(F63+$B$4)*EXP(10*$G$13)</f>
        <v>0.12599194839951774</v>
      </c>
      <c r="H58" s="22"/>
      <c r="M58" s="2">
        <f>MIN($B$8,(100+$B$7)/(1+G$51+$D$9/10000))+$B$7</f>
        <v>105.78139400000001</v>
      </c>
    </row>
    <row r="59" spans="1:13" x14ac:dyDescent="0.35">
      <c r="A59" s="42"/>
      <c r="B59" s="5"/>
      <c r="C59" s="5"/>
      <c r="D59" s="5"/>
      <c r="E59" s="5"/>
      <c r="F59" s="5"/>
      <c r="G59" s="10">
        <f>F64*EXP(10*$G$13)</f>
        <v>0.12680611985873458</v>
      </c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13">
        <f>(F64+$B$4)*EXP(10*$G$13)</f>
        <v>0.12943129386135679</v>
      </c>
      <c r="H60" s="20"/>
      <c r="I60" s="21"/>
      <c r="J60" s="21"/>
      <c r="K60" s="21"/>
      <c r="L60" s="21"/>
      <c r="M60" s="2">
        <f>MIN($B$8,(100+$B$7)/(1+G$51+$D$9/10000))+$B$7</f>
        <v>105.78139400000001</v>
      </c>
    </row>
    <row r="61" spans="1:13" x14ac:dyDescent="0.35">
      <c r="A61" s="42"/>
      <c r="B61" s="5"/>
      <c r="C61" s="5"/>
      <c r="D61" s="5"/>
      <c r="E61" s="5"/>
      <c r="F61" s="10">
        <f>E65*EXP(10*$F$13)</f>
        <v>9.0637667450812781E-2</v>
      </c>
      <c r="G61" s="10">
        <f>F65*EXP(10*$G$13)</f>
        <v>0.12880368600502198</v>
      </c>
      <c r="I61" s="21"/>
      <c r="J61" s="21"/>
      <c r="K61" s="21"/>
      <c r="L61" s="2">
        <f>MIN($B$8,AVERAGE(M54:M56)/(1+F61+$D$9/10000))+$B$7</f>
        <v>101.99040951633985</v>
      </c>
      <c r="M61" s="21"/>
    </row>
    <row r="62" spans="1:13" x14ac:dyDescent="0.35">
      <c r="A62" s="42"/>
      <c r="B62" s="5"/>
      <c r="C62" s="5"/>
      <c r="D62" s="5"/>
      <c r="E62" s="5"/>
      <c r="F62" s="13">
        <f>(E65+$B$4)*EXP(10*$F$13)</f>
        <v>9.3257947446274844E-2</v>
      </c>
      <c r="G62" s="13">
        <f>(F65+$B$4)*EXP(10*$G$13)</f>
        <v>0.1314288600076442</v>
      </c>
      <c r="J62" s="21"/>
      <c r="K62" s="21"/>
      <c r="L62" s="21"/>
      <c r="M62" s="2">
        <f>MIN($B$8,(100+$B$7)/(1+G$51+$D$9/10000))+$B$7</f>
        <v>105.78139400000001</v>
      </c>
    </row>
    <row r="63" spans="1:13" x14ac:dyDescent="0.35">
      <c r="A63" s="42"/>
      <c r="B63" s="5"/>
      <c r="C63" s="5"/>
      <c r="D63" s="5"/>
      <c r="E63" s="5"/>
      <c r="F63" s="10">
        <f>E66*EXP(10*$F$13)</f>
        <v>9.3987502751183533E-2</v>
      </c>
      <c r="G63" s="10">
        <f>F66*EXP(10*$G$13)</f>
        <v>0.13224303146686101</v>
      </c>
      <c r="K63" s="21"/>
      <c r="L63" s="2">
        <f>MIN($B$8,AVERAGE(M56:M58)/(1+F63+$D$9/10000))+$B$7</f>
        <v>101.69342084254039</v>
      </c>
      <c r="M63" s="21"/>
    </row>
    <row r="64" spans="1:13" x14ac:dyDescent="0.35">
      <c r="A64" s="42"/>
      <c r="B64" s="5"/>
      <c r="C64" s="5"/>
      <c r="D64" s="5"/>
      <c r="E64" s="5"/>
      <c r="F64" s="13">
        <f>(E66+$B$4)*EXP(10*$F$13)</f>
        <v>9.6607782746645596E-2</v>
      </c>
      <c r="G64" s="13">
        <f>(F66+$B$4)*EXP(10*$G$13)</f>
        <v>0.13486820546948322</v>
      </c>
      <c r="K64" s="2">
        <f>MIN($B$8,AVERAGE(L61:L63)/(1+E65+$D$9/10000))+$B$7</f>
        <v>100.25220871136213</v>
      </c>
      <c r="L64" s="21"/>
      <c r="M64" s="2">
        <f>MIN($B$8,(100+$B$7)/(1+G$51+$D$9/10000))+$B$7</f>
        <v>105.78139400000001</v>
      </c>
    </row>
    <row r="65" spans="1:13" x14ac:dyDescent="0.35">
      <c r="A65" s="42"/>
      <c r="B65" s="5"/>
      <c r="C65" s="5"/>
      <c r="D65" s="5"/>
      <c r="E65" s="10">
        <f>D66*EXP(10*$E$13)</f>
        <v>6.9181665782117777E-2</v>
      </c>
      <c r="F65" s="10">
        <f>E67*EXP(10*$F$13)</f>
        <v>9.8129637027003461E-2</v>
      </c>
      <c r="G65" s="10">
        <f>F67*EXP(10*$G$13)</f>
        <v>0.12784608119506127</v>
      </c>
      <c r="K65" s="21"/>
      <c r="L65" s="2">
        <f>MIN($B$8,AVERAGE(M58:M60)/(1+F65+$D$9/10000))+$B$7</f>
        <v>101.32869420261243</v>
      </c>
      <c r="M65" s="21"/>
    </row>
    <row r="66" spans="1:13" x14ac:dyDescent="0.35">
      <c r="A66" s="42"/>
      <c r="B66" s="5"/>
      <c r="C66" s="5"/>
      <c r="D66" s="10">
        <f>C68*EXP(10*$D$13)</f>
        <v>5.4114700767993983E-2</v>
      </c>
      <c r="E66" s="13">
        <f>(D66+$B$4)*EXP(10*$E$13)</f>
        <v>7.1738518718576602E-2</v>
      </c>
      <c r="F66" s="13">
        <f>(E67+$B$4)*EXP(10*$F$13)</f>
        <v>0.10074991702246552</v>
      </c>
      <c r="G66" s="13">
        <f>(F67+$B$4)*EXP(10*$G$13)</f>
        <v>0.13047125519768349</v>
      </c>
      <c r="K66" s="2">
        <f>MIN($B$8,AVERAGE(L65:L68)/(1+E68+$D$9/10000))+$B$7</f>
        <v>99.630210547393304</v>
      </c>
      <c r="L66" s="21"/>
      <c r="M66" s="2">
        <f>MIN($B$8,(100+$B$7)/(1+G$51+$D$9/10000))+$B$7</f>
        <v>105.78139400000001</v>
      </c>
    </row>
    <row r="67" spans="1:13" x14ac:dyDescent="0.35">
      <c r="A67" s="42"/>
      <c r="B67" s="5"/>
      <c r="C67" s="5"/>
      <c r="D67" s="13">
        <f>(C68+$B$4)*EXP(10*$D$13)</f>
        <v>5.6587738338146475E-2</v>
      </c>
      <c r="E67" s="13">
        <f>(D67+$B$4)*EXP(10*$E$13)</f>
        <v>7.4900115405185277E-2</v>
      </c>
      <c r="F67" s="13">
        <f>(E68+$B$4)*EXP(10*$F$13)</f>
        <v>9.7400081722094786E-2</v>
      </c>
      <c r="G67" s="13">
        <f>(F68+$B$4)*EXP(10*$G$13)</f>
        <v>0.12703190973584447</v>
      </c>
      <c r="H67" s="22"/>
      <c r="J67" s="2">
        <f>MIN($B$8,AVERAGE(K64:K66)/(1+D67+$D$9/10000))+$B$7</f>
        <v>99.588651754155492</v>
      </c>
      <c r="K67" s="21"/>
      <c r="L67" s="21"/>
      <c r="M67" s="21"/>
    </row>
    <row r="68" spans="1:13" x14ac:dyDescent="0.35">
      <c r="A68" s="42"/>
      <c r="B68" s="5"/>
      <c r="C68" s="23">
        <f>(B69+$B$4)*EXP(10*$C$13)</f>
        <v>4.3763751445682418E-2</v>
      </c>
      <c r="D68" s="5"/>
      <c r="E68" s="10">
        <f>D67*EXP(10*$E$13)</f>
        <v>7.2343262468726466E-2</v>
      </c>
      <c r="F68" s="10">
        <f>E68*EXP(10*$F$13)</f>
        <v>9.4779801726632723E-2</v>
      </c>
      <c r="G68" s="10">
        <f>F68*EXP(10*$G$13)</f>
        <v>0.12440673573322225</v>
      </c>
      <c r="H68" s="22"/>
      <c r="I68" s="2">
        <f>MIN($B$8,AVERAGE(J67:J67)/(1+C68+$D$9/10000))+$B$7</f>
        <v>100.41302005958588</v>
      </c>
      <c r="J68" s="21"/>
      <c r="K68" s="21"/>
      <c r="L68" s="2">
        <f>MIN($B$8,AVERAGE(M61:M63)/(1+F68+$D$9/10000))+$B$7</f>
        <v>101.62344321037601</v>
      </c>
      <c r="M68" s="2">
        <f>MIN($B$8,(100+$B$7)/(1+G$51+$D$9/10000))+$B$7</f>
        <v>105.78139400000001</v>
      </c>
    </row>
    <row r="69" spans="1:13" x14ac:dyDescent="0.35">
      <c r="A69" s="42"/>
      <c r="B69" s="10">
        <f>B51</f>
        <v>3.2619111399999998E-2</v>
      </c>
      <c r="C69" s="19"/>
      <c r="D69" s="5"/>
      <c r="E69" s="5"/>
      <c r="F69" s="5"/>
      <c r="G69" s="5"/>
      <c r="H69" s="3" t="e">
        <f>AVERAGE(I69:I70)/(1+B69+$G$5/10000)</f>
        <v>#VALUE!</v>
      </c>
    </row>
    <row r="70" spans="1:13" x14ac:dyDescent="0.35">
      <c r="A70" s="42"/>
      <c r="B70" s="5"/>
      <c r="C70" s="23">
        <f>(B69-$B$4)*EXP(10*$C$13)</f>
        <v>3.8707151241243611E-2</v>
      </c>
      <c r="D70" s="5"/>
      <c r="E70" s="10">
        <f>D71*EXP(10*$E$13)</f>
        <v>5.8026603869579821E-2</v>
      </c>
      <c r="F70" s="10">
        <f>E70*EXP(10*$F$13)</f>
        <v>7.6022974662030784E-2</v>
      </c>
      <c r="G70" s="10">
        <f>F70*EXP(10*$G$13)</f>
        <v>9.9786768342385354E-2</v>
      </c>
      <c r="H70" s="22"/>
      <c r="I70" s="2">
        <f>MIN($B$8,AVERAGE(J71:J71)/(1+C70+$D$9/10000))+$B$7</f>
        <v>103.95286741520911</v>
      </c>
      <c r="J70" s="21"/>
      <c r="K70" s="21"/>
      <c r="L70" s="2">
        <f>MIN($B$8,AVERAGE(M63:M65)/(1+F70+$D$9/10000))+$B$7</f>
        <v>103.30774666612022</v>
      </c>
      <c r="M70" s="2">
        <f>MIN($B$8,(100+$B$7)/(1+G$51+$D$9/10000))+$B$7</f>
        <v>105.78139400000001</v>
      </c>
    </row>
    <row r="71" spans="1:13" x14ac:dyDescent="0.35">
      <c r="A71" s="42"/>
      <c r="B71" s="5"/>
      <c r="C71" s="5"/>
      <c r="D71" s="24">
        <f>(C70-$B$4)*EXP(10*$D$13)</f>
        <v>4.5389082056432523E-2</v>
      </c>
      <c r="E71" s="23">
        <f>(D71-$B$4)*EXP(10*$E$13)</f>
        <v>5.5469750933121002E-2</v>
      </c>
      <c r="F71" s="23">
        <f>(E70-$B$4)*EXP(10*$E$13)</f>
        <v>7.1625893311875008E-2</v>
      </c>
      <c r="G71" s="23">
        <f>(F70-$B$4)*EXP(10*$G$13)</f>
        <v>9.7161594339763138E-2</v>
      </c>
      <c r="H71" s="22"/>
      <c r="J71" s="2">
        <f>MIN($B$8,AVERAGE(K72:K74)/(1+D72+$D$9/10000))+$B$7</f>
        <v>102.78305102000434</v>
      </c>
      <c r="K71" s="21"/>
      <c r="L71" s="21"/>
      <c r="M71" s="21"/>
    </row>
    <row r="72" spans="1:13" x14ac:dyDescent="0.35">
      <c r="A72" s="42"/>
      <c r="B72" s="5"/>
      <c r="C72" s="5"/>
      <c r="D72" s="10">
        <f>C70*EXP(10*$D$13)</f>
        <v>4.7862119626585015E-2</v>
      </c>
      <c r="E72" s="23">
        <f>(D72-$B$4)*EXP(10*$E$13)</f>
        <v>5.8631347619729692E-2</v>
      </c>
      <c r="F72" s="23">
        <f>(E71-$B$4)*EXP(10*$E$13)</f>
        <v>6.8357144842535966E-2</v>
      </c>
      <c r="G72" s="23">
        <f>(F71-$B$4)*EXP(10*$G$13)</f>
        <v>9.1390042515841166E-2</v>
      </c>
      <c r="H72" s="22"/>
      <c r="K72" s="2">
        <f>MIN($B$8,AVERAGE(L70:L73)/(1+E70+$D$9/10000))+$B$7</f>
        <v>102.78700100902442</v>
      </c>
      <c r="L72" s="21"/>
      <c r="M72" s="2">
        <f>MIN($B$8,(100+$B$7)/(1+G$51+$D$9/10000))+$B$7</f>
        <v>105.78139400000001</v>
      </c>
    </row>
    <row r="73" spans="1:13" x14ac:dyDescent="0.35">
      <c r="A73" s="42"/>
      <c r="B73" s="5"/>
      <c r="C73" s="5"/>
      <c r="D73" s="5"/>
      <c r="E73" s="10">
        <f>D72*EXP(10*$E$13)</f>
        <v>6.118820055618851E-2</v>
      </c>
      <c r="F73" s="10">
        <f>E71*EXP(10*$F$13)</f>
        <v>7.2673139361660047E-2</v>
      </c>
      <c r="G73" s="10">
        <f>F71*EXP(10*$G$13)</f>
        <v>9.4015216518463382E-2</v>
      </c>
      <c r="H73" s="22"/>
      <c r="K73" s="21"/>
      <c r="L73" s="2">
        <f>MIN($B$8,AVERAGE(M66:M68)/(1+F73+$D$9/10000))+$B$7</f>
        <v>103.61475049421834</v>
      </c>
      <c r="M73" s="21"/>
    </row>
    <row r="74" spans="1:13" x14ac:dyDescent="0.35">
      <c r="A74" s="42"/>
      <c r="B74" s="5"/>
      <c r="C74" s="5"/>
      <c r="D74" s="5"/>
      <c r="E74" s="5"/>
      <c r="F74" s="23">
        <f>(E72-$B$4)*EXP(10*$E$13)</f>
        <v>7.2399013728562917E-2</v>
      </c>
      <c r="G74" s="23">
        <f>(F72-$B$4)*EXP(10*$G$13)</f>
        <v>8.7099525764431154E-2</v>
      </c>
      <c r="H74" s="20"/>
      <c r="I74" s="21"/>
      <c r="J74" s="21"/>
      <c r="K74" s="2">
        <f>MIN($B$8,AVERAGE(L75:L77)/(1+E73+$D$9/10000))+$B$7</f>
        <v>102.13930920172807</v>
      </c>
      <c r="L74" s="21"/>
      <c r="M74" s="2">
        <f>MIN($B$8,(100+$B$7)/(1+G$51+$D$9/10000))+$B$7</f>
        <v>105.78139400000001</v>
      </c>
    </row>
    <row r="75" spans="1:13" x14ac:dyDescent="0.35">
      <c r="A75" s="42"/>
      <c r="B75" s="5"/>
      <c r="C75" s="5"/>
      <c r="D75" s="5"/>
      <c r="E75" s="5"/>
      <c r="F75" s="10">
        <f>E72*EXP(10*$F$13)</f>
        <v>7.6815273637479989E-2</v>
      </c>
      <c r="G75" s="10">
        <f>F72*EXP(10*$G$13)</f>
        <v>8.972469976705337E-2</v>
      </c>
      <c r="I75" s="21"/>
      <c r="J75" s="21"/>
      <c r="K75" s="21"/>
      <c r="L75" s="2">
        <f>MIN($B$8,AVERAGE(M68:M70)/(1+F75+$D$9/10000))+$B$7</f>
        <v>103.23541380748682</v>
      </c>
      <c r="M75" s="21"/>
    </row>
    <row r="76" spans="1:13" x14ac:dyDescent="0.35">
      <c r="A76" s="42"/>
      <c r="B76" s="5"/>
      <c r="C76" s="5"/>
      <c r="D76" s="5"/>
      <c r="E76" s="5"/>
      <c r="F76" s="23">
        <f>(E73-$B$4)*EXP(10*$E$13)</f>
        <v>7.5667762197901958E-2</v>
      </c>
      <c r="G76" s="23">
        <f>(F73-$B$4)*EXP(10*$G$13)</f>
        <v>9.2764644067963406E-2</v>
      </c>
      <c r="J76" s="21"/>
      <c r="K76" s="21"/>
      <c r="L76" s="21"/>
      <c r="M76" s="2">
        <f>MIN($B$8,(100+$B$7)/(1+G$51+$D$9/10000))+$B$7</f>
        <v>105.78139400000001</v>
      </c>
    </row>
    <row r="77" spans="1:13" x14ac:dyDescent="0.35">
      <c r="A77" s="42"/>
      <c r="B77" s="5"/>
      <c r="C77" s="5"/>
      <c r="D77" s="5"/>
      <c r="E77" s="5"/>
      <c r="F77" s="10">
        <f>E73*EXP(10*$F$13)</f>
        <v>8.0165108937850726E-2</v>
      </c>
      <c r="G77" s="10">
        <f>F73*EXP(10*$G$13)</f>
        <v>9.5389818070585636E-2</v>
      </c>
      <c r="K77" s="21"/>
      <c r="L77" s="2">
        <f>MIN($B$8,AVERAGE(M70:M72)/(1+F77+$D$9/10000))+$B$7</f>
        <v>102.93076366261921</v>
      </c>
      <c r="M77" s="21"/>
    </row>
    <row r="78" spans="1:13" x14ac:dyDescent="0.35">
      <c r="A78" s="42"/>
      <c r="B78" s="5"/>
      <c r="C78" s="5"/>
      <c r="D78" s="5"/>
      <c r="E78" s="5"/>
      <c r="F78" s="5"/>
      <c r="G78" s="23">
        <f>(F74-$B$4)*EXP(10*$G$13)</f>
        <v>9.2404830325233944E-2</v>
      </c>
      <c r="L78" s="21"/>
      <c r="M78" s="2">
        <f>MIN($B$8,(100+$B$7)/(1+G$51+$D$9/10000))+$B$7</f>
        <v>105.78139400000001</v>
      </c>
    </row>
    <row r="79" spans="1:13" x14ac:dyDescent="0.35">
      <c r="A79" s="42"/>
      <c r="B79" s="5"/>
      <c r="C79" s="5"/>
      <c r="D79" s="5"/>
      <c r="E79" s="5"/>
      <c r="F79" s="5"/>
      <c r="G79" s="10">
        <f>F74*EXP(10*$G$13)</f>
        <v>9.503000432785616E-2</v>
      </c>
      <c r="M79" s="21"/>
    </row>
    <row r="80" spans="1:13" x14ac:dyDescent="0.35">
      <c r="A80" s="42"/>
      <c r="B80" s="5"/>
      <c r="C80" s="5"/>
      <c r="D80" s="5"/>
      <c r="E80" s="5"/>
      <c r="F80" s="5"/>
      <c r="G80" s="23">
        <f>(F75-0.001)*EXP(10*$G$13)</f>
        <v>9.9514142677400982E-2</v>
      </c>
      <c r="M80" s="2">
        <f>MIN($B$8,(100+$B$7)/(1+G$51+$D$9/10000))+$B$7</f>
        <v>105.78139400000001</v>
      </c>
    </row>
    <row r="81" spans="1:13" x14ac:dyDescent="0.35">
      <c r="A81" s="42"/>
      <c r="B81" s="5"/>
      <c r="C81" s="5"/>
      <c r="D81" s="5"/>
      <c r="E81" s="5"/>
      <c r="F81" s="5"/>
      <c r="G81" s="10">
        <f>F75*EXP(10*$G$13)</f>
        <v>0.10082672967871209</v>
      </c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23">
        <f>(F76-$B$4)*EXP(10*$G$13)</f>
        <v>9.6695347076643942E-2</v>
      </c>
      <c r="H82" s="22"/>
      <c r="M82" s="2">
        <f>MIN($B$8,(100+$B$7)/(1+G$51+$D$9/10000))+$B$7</f>
        <v>105.78139400000001</v>
      </c>
    </row>
    <row r="83" spans="1:13" x14ac:dyDescent="0.35">
      <c r="A83" s="42"/>
      <c r="B83" s="5"/>
      <c r="C83" s="5"/>
      <c r="D83" s="5"/>
      <c r="E83" s="5"/>
      <c r="F83" s="5"/>
      <c r="G83" s="10">
        <f>F76*EXP(10*$G$13)</f>
        <v>9.9320521079266172E-2</v>
      </c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23">
        <f>(F77-$B$4)*EXP(10*$G$13)</f>
        <v>0.10259850594788959</v>
      </c>
      <c r="H84" s="22"/>
      <c r="M84" s="2">
        <f>MIN($B$8,(100+$B$7)/(1+G$51+$D$9/10000))+$B$7</f>
        <v>105.78139400000001</v>
      </c>
    </row>
    <row r="85" spans="1:13" x14ac:dyDescent="0.35">
      <c r="A85" s="42"/>
      <c r="B85" s="5"/>
      <c r="C85" s="5"/>
      <c r="D85" s="5"/>
      <c r="E85" s="5"/>
      <c r="F85" s="5"/>
      <c r="G85" s="10">
        <f>F77*EXP(10*$G$13)</f>
        <v>0.10522367995051181</v>
      </c>
      <c r="H85" s="22"/>
      <c r="M85" s="21"/>
    </row>
    <row r="86" spans="1:13" x14ac:dyDescent="0.35">
      <c r="A86" s="38" t="s">
        <v>7</v>
      </c>
      <c r="B86" s="39">
        <v>1</v>
      </c>
      <c r="C86" s="40">
        <v>2</v>
      </c>
      <c r="D86" s="40">
        <v>3</v>
      </c>
      <c r="E86" s="40">
        <v>4</v>
      </c>
      <c r="F86" s="40">
        <v>5</v>
      </c>
      <c r="G86" s="40">
        <v>6</v>
      </c>
    </row>
    <row r="87" spans="1:13" x14ac:dyDescent="0.35">
      <c r="A87" s="44" t="s">
        <v>21</v>
      </c>
      <c r="B87" s="6">
        <v>3.95E-2</v>
      </c>
      <c r="C87" s="6">
        <v>4.2665016612330783E-2</v>
      </c>
      <c r="D87" s="6">
        <v>3.795855619289145E-2</v>
      </c>
      <c r="E87" s="6">
        <v>3.2965928411652974E-2</v>
      </c>
      <c r="F87" s="6">
        <v>2.4569542456934341E-2</v>
      </c>
      <c r="G87" s="6">
        <v>2.7830855689794473E-2</v>
      </c>
      <c r="H87" s="4"/>
    </row>
    <row r="88" spans="1:13" x14ac:dyDescent="0.35">
      <c r="A88" s="45" t="s">
        <v>14</v>
      </c>
      <c r="B88" s="7">
        <f t="shared" ref="B88:G88" si="5">B14-0.001</f>
        <v>3.0619111399999996E-2</v>
      </c>
      <c r="C88" s="7">
        <f t="shared" si="5"/>
        <v>3.1919068799999999E-2</v>
      </c>
      <c r="D88" s="7">
        <f t="shared" si="5"/>
        <v>3.1519024600000001E-2</v>
      </c>
      <c r="E88" s="7">
        <f t="shared" si="5"/>
        <v>3.1819091259999994E-2</v>
      </c>
      <c r="F88" s="7">
        <f t="shared" si="5"/>
        <v>3.2319140267999993E-2</v>
      </c>
      <c r="G88" s="7">
        <f t="shared" si="5"/>
        <v>3.0819143999999993E-2</v>
      </c>
    </row>
    <row r="89" spans="1:13" x14ac:dyDescent="0.35">
      <c r="A89" s="41" t="s">
        <v>0</v>
      </c>
      <c r="B89" s="8">
        <f t="shared" ref="B89:G89" si="6">1/(1+B88)^B13</f>
        <v>0.99922911373883416</v>
      </c>
      <c r="C89" s="8">
        <f t="shared" si="6"/>
        <v>0.99926378066352906</v>
      </c>
      <c r="D89" s="8">
        <f t="shared" si="6"/>
        <v>0.99934139706319702</v>
      </c>
      <c r="E89" s="8">
        <f t="shared" si="6"/>
        <v>0.99923090040073237</v>
      </c>
      <c r="F89" s="8">
        <f t="shared" si="6"/>
        <v>0.99914113049448972</v>
      </c>
      <c r="G89" s="8">
        <f t="shared" si="6"/>
        <v>0.99917471814485204</v>
      </c>
      <c r="M89"/>
    </row>
    <row r="90" spans="1:13" x14ac:dyDescent="0.35">
      <c r="A90" s="42"/>
      <c r="B90" s="5"/>
      <c r="C90" s="5"/>
      <c r="D90" s="5"/>
      <c r="E90" s="5"/>
      <c r="F90" s="5"/>
      <c r="G90" s="10">
        <f>F98*EXP(10*$G$13)</f>
        <v>0.11209675203780378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13">
        <f>(F98+$B$4)*EXP(10*$G$13)</f>
        <v>0.114721926040426</v>
      </c>
      <c r="H91" s="22"/>
      <c r="M91" s="2">
        <f>MIN($B$8,(100+$B$7)/(1+G$88+$D$9/10000))+$B$7</f>
        <v>105.78139400000001</v>
      </c>
    </row>
    <row r="92" spans="1:13" x14ac:dyDescent="0.35">
      <c r="A92" s="42"/>
      <c r="B92" s="5"/>
      <c r="C92" s="5"/>
      <c r="D92" s="5"/>
      <c r="E92" s="5"/>
      <c r="F92" s="5"/>
      <c r="G92" s="10">
        <f>F99*EXP(10*$G$13)</f>
        <v>0.11553609749964283</v>
      </c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13">
        <f>(F99+$B$4)*EXP(10*$G$13)</f>
        <v>0.11816127150226505</v>
      </c>
      <c r="H93" s="22"/>
      <c r="M93" s="2">
        <f>MIN($B$8,(100+$B$7)/(1+G$88+$D$9/10000))+$B$7</f>
        <v>105.78139400000001</v>
      </c>
    </row>
    <row r="94" spans="1:13" x14ac:dyDescent="0.35">
      <c r="A94" s="42"/>
      <c r="B94" s="5"/>
      <c r="C94" s="5"/>
      <c r="D94" s="5"/>
      <c r="E94" s="5"/>
      <c r="F94" s="5"/>
      <c r="G94" s="10">
        <f>F100*EXP(10*$G$13)</f>
        <v>0.11649370230960353</v>
      </c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13">
        <f>(F100+$B$4)*EXP(10*$G$13)</f>
        <v>0.11911887631222574</v>
      </c>
      <c r="H95" s="22"/>
      <c r="M95" s="2">
        <f>MIN($B$8,(100+$B$7)/(1+G$88+$D$9/10000))+$B$7</f>
        <v>105.78139400000001</v>
      </c>
    </row>
    <row r="96" spans="1:13" x14ac:dyDescent="0.35">
      <c r="A96" s="46"/>
      <c r="B96" s="5"/>
      <c r="C96" s="5"/>
      <c r="D96" s="5"/>
      <c r="E96" s="5"/>
      <c r="F96" s="5"/>
      <c r="G96" s="10">
        <f>F101*EXP(10*$G$13)</f>
        <v>0.11993304777144256</v>
      </c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13">
        <f>(F101+$B$4)*EXP(10*$G$13)</f>
        <v>0.12255822177406478</v>
      </c>
      <c r="H97" s="20"/>
      <c r="I97" s="21"/>
      <c r="J97" s="21"/>
      <c r="K97" s="21"/>
      <c r="L97" s="21"/>
      <c r="M97" s="2">
        <f>MIN($B$8,(100+$B$7)/(1+G$88+$D$9/10000))+$B$7</f>
        <v>105.78139400000001</v>
      </c>
    </row>
    <row r="98" spans="1:13" x14ac:dyDescent="0.35">
      <c r="A98" s="42"/>
      <c r="B98" s="5"/>
      <c r="C98" s="5"/>
      <c r="D98" s="5"/>
      <c r="E98" s="5"/>
      <c r="F98" s="10">
        <f>E102*EXP(10*$F$13)</f>
        <v>8.540138819433174E-2</v>
      </c>
      <c r="G98" s="10">
        <f>F102*EXP(10*$G$13)</f>
        <v>0.12193061391772998</v>
      </c>
      <c r="I98" s="21"/>
      <c r="J98" s="21"/>
      <c r="K98" s="21"/>
      <c r="L98" s="2">
        <f>MIN($B$8,AVERAGE(M91:M93)/(1+F98+$D$9/10000))+$B$7</f>
        <v>102.45831832404176</v>
      </c>
      <c r="M98" s="21"/>
    </row>
    <row r="99" spans="1:13" x14ac:dyDescent="0.35">
      <c r="A99" s="42"/>
      <c r="B99" s="5"/>
      <c r="C99" s="5"/>
      <c r="D99" s="5"/>
      <c r="E99" s="5"/>
      <c r="F99" s="13">
        <f>(E102+$B$4)*EXP(10*$F$13)</f>
        <v>8.8021668189793817E-2</v>
      </c>
      <c r="G99" s="13">
        <f>(F102+$B$4)*EXP(10*$G$13)</f>
        <v>0.1245557879203522</v>
      </c>
      <c r="J99" s="21"/>
      <c r="K99" s="21"/>
      <c r="L99" s="21"/>
      <c r="M99" s="2">
        <f>MIN($B$8,(100+$B$7)/(1+G$88+$D$9/10000))+$B$7</f>
        <v>105.78139400000001</v>
      </c>
    </row>
    <row r="100" spans="1:13" x14ac:dyDescent="0.35">
      <c r="A100" s="42"/>
      <c r="B100" s="5"/>
      <c r="C100" s="5"/>
      <c r="D100" s="5"/>
      <c r="E100" s="5"/>
      <c r="F100" s="10">
        <f>E103*EXP(10*$F$13)</f>
        <v>8.8751223494702491E-2</v>
      </c>
      <c r="G100" s="10">
        <f>F103*EXP(10*$G$13)</f>
        <v>0.12536995937956902</v>
      </c>
      <c r="K100" s="21"/>
      <c r="L100" s="2">
        <f>MIN($B$8,AVERAGE(M93:M95)/(1+F100+$D$9/10000))+$B$7</f>
        <v>102.15846165523477</v>
      </c>
      <c r="M100" s="21"/>
    </row>
    <row r="101" spans="1:13" x14ac:dyDescent="0.35">
      <c r="A101" s="42"/>
      <c r="B101" s="5"/>
      <c r="C101" s="5"/>
      <c r="D101" s="5"/>
      <c r="E101" s="5"/>
      <c r="F101" s="13">
        <f>(E103+$B$4)*EXP(10*$F$13)</f>
        <v>9.1371503490164555E-2</v>
      </c>
      <c r="G101" s="13">
        <f>(F103+$B$4)*EXP(10*$G$13)</f>
        <v>0.12799513338219126</v>
      </c>
      <c r="K101" s="2">
        <f>MIN($B$8,AVERAGE(L98:L100)/(1+E102+$D$9/10000))+$B$7</f>
        <v>101.04753766582945</v>
      </c>
      <c r="L101" s="21"/>
      <c r="M101" s="2">
        <f>MIN($B$8,(100+$B$7)/(1+G$88+$D$9/10000))+$B$7</f>
        <v>105.78139400000001</v>
      </c>
    </row>
    <row r="102" spans="1:13" x14ac:dyDescent="0.35">
      <c r="A102" s="42"/>
      <c r="B102" s="5"/>
      <c r="C102" s="5"/>
      <c r="D102" s="5"/>
      <c r="E102" s="10">
        <f>D103*EXP(10*$E$13)</f>
        <v>6.5184933169153136E-2</v>
      </c>
      <c r="F102" s="10">
        <f>E104*EXP(10*$F$13)</f>
        <v>9.2893357770522433E-2</v>
      </c>
      <c r="G102" s="10">
        <f>F104*EXP(10*$G$13)</f>
        <v>0.12097300910776929</v>
      </c>
      <c r="K102" s="21"/>
      <c r="L102" s="2">
        <f>MIN($B$8,AVERAGE(M95:M97)/(1+F102+$D$9/10000))+$B$7</f>
        <v>101.79022500035286</v>
      </c>
      <c r="M102" s="21"/>
    </row>
    <row r="103" spans="1:13" x14ac:dyDescent="0.35">
      <c r="A103" s="46"/>
      <c r="B103" s="5"/>
      <c r="C103" s="5"/>
      <c r="D103" s="10">
        <f>C105*EXP(10*$D$13)</f>
        <v>5.0988410197289495E-2</v>
      </c>
      <c r="E103" s="13">
        <f>(D103+$B$4)*EXP(10*$E$13)</f>
        <v>6.7741786105611962E-2</v>
      </c>
      <c r="F103" s="13">
        <f>(E104+$B$4)*EXP(10*$F$13)</f>
        <v>9.551363776598451E-2</v>
      </c>
      <c r="G103" s="13">
        <f>(F104+$B$4)*EXP(10*$G$13)</f>
        <v>0.12359818311039152</v>
      </c>
      <c r="K103" s="2">
        <f>MIN($B$8,AVERAGE(L102:L105)/(1+E105+$D$9/10000))+$B$7</f>
        <v>100.41755827687996</v>
      </c>
      <c r="L103" s="21"/>
      <c r="M103" s="2">
        <f>MIN($B$8,(100+$B$7)/(1+G$88+$D$9/10000))+$B$7</f>
        <v>105.78139400000001</v>
      </c>
    </row>
    <row r="104" spans="1:13" x14ac:dyDescent="0.35">
      <c r="A104" s="42"/>
      <c r="B104" s="5"/>
      <c r="C104" s="5"/>
      <c r="D104" s="13">
        <f>(C105+$B$4)*EXP(10*$D$13)</f>
        <v>5.3461447767441987E-2</v>
      </c>
      <c r="E104" s="13">
        <f>(D104+$B$4)*EXP(10*$E$13)</f>
        <v>7.0903382792220651E-2</v>
      </c>
      <c r="F104" s="13">
        <f>(E105+$B$4)*EXP(10*$F$13)</f>
        <v>9.2163802465613759E-2</v>
      </c>
      <c r="G104" s="13">
        <f>(F105+$B$4)*EXP(10*$G$13)</f>
        <v>0.12015883764855248</v>
      </c>
      <c r="H104" s="22"/>
      <c r="J104" s="2">
        <f>MIN($B$8,AVERAGE(K101:K103)/(1+D104+$D$9/10000))+$B$7</f>
        <v>100.62053569671021</v>
      </c>
      <c r="K104" s="21"/>
      <c r="L104" s="21"/>
      <c r="M104" s="21"/>
    </row>
    <row r="105" spans="1:13" x14ac:dyDescent="0.35">
      <c r="A105" s="42"/>
      <c r="B105" s="5"/>
      <c r="C105" s="23">
        <f>(B106+$B$4)*EXP(10*$C$13)</f>
        <v>4.1235451343463014E-2</v>
      </c>
      <c r="D105" s="5"/>
      <c r="E105" s="10">
        <f>D104*EXP(10*$E$13)</f>
        <v>6.8346529855761826E-2</v>
      </c>
      <c r="F105" s="10">
        <f>E105*EXP(10*$F$13)</f>
        <v>8.9543522470151696E-2</v>
      </c>
      <c r="G105" s="10">
        <f>F105*EXP(10*$G$13)</f>
        <v>0.11753366364593026</v>
      </c>
      <c r="H105" s="22"/>
      <c r="I105" s="2">
        <f>MIN($B$8,AVERAGE(J104:J104)/(1+C105+$D$9/10000))+$B$7</f>
        <v>101.6357182392164</v>
      </c>
      <c r="J105" s="21"/>
      <c r="K105" s="21"/>
      <c r="L105" s="2">
        <f>MIN($B$8,AVERAGE(M98:M100)/(1+F105+$D$9/10000))+$B$7</f>
        <v>102.08780954447637</v>
      </c>
      <c r="M105" s="2">
        <f>MIN($B$8,(100+$B$7)/(1+G$88+$D$9/10000))+$B$7</f>
        <v>105.78139400000001</v>
      </c>
    </row>
    <row r="106" spans="1:13" x14ac:dyDescent="0.35">
      <c r="A106" s="42"/>
      <c r="B106" s="10">
        <f>B88</f>
        <v>3.0619111399999996E-2</v>
      </c>
      <c r="C106" s="19"/>
      <c r="D106" s="5"/>
      <c r="E106" s="5"/>
      <c r="F106" s="5"/>
      <c r="G106" s="5"/>
      <c r="H106" s="3" t="e">
        <f>AVERAGE(I106:I107)/(1+B106+$G$5/10000)</f>
        <v>#VALUE!</v>
      </c>
    </row>
    <row r="107" spans="1:13" x14ac:dyDescent="0.35">
      <c r="A107" s="42"/>
      <c r="B107" s="5"/>
      <c r="C107" s="23">
        <f>(B106-$B$4)*EXP(10*$C$13)</f>
        <v>3.6178851139024207E-2</v>
      </c>
      <c r="D107" s="5"/>
      <c r="E107" s="10">
        <f>D108*EXP(10*$E$13)</f>
        <v>5.4029871256615195E-2</v>
      </c>
      <c r="F107" s="10">
        <f>E107*EXP(10*$F$13)</f>
        <v>7.0786695405549771E-2</v>
      </c>
      <c r="G107" s="10">
        <f>F107*EXP(10*$G$13)</f>
        <v>9.2913696255093381E-2</v>
      </c>
      <c r="H107" s="22"/>
      <c r="I107" s="2">
        <f>MIN($B$8,AVERAGE(J108:J108)/(1+C107+$D$9/10000))+$B$7</f>
        <v>105.23797912604851</v>
      </c>
      <c r="J107" s="21"/>
      <c r="K107" s="21"/>
      <c r="L107" s="2">
        <f>MIN($B$8,AVERAGE(M100:M102)/(1+F107+$D$9/10000))+$B$7</f>
        <v>103.78848369509892</v>
      </c>
      <c r="M107" s="2">
        <f>MIN($B$8,(100+$B$7)/(1+G$88+$D$9/10000))+$B$7</f>
        <v>105.78139400000001</v>
      </c>
    </row>
    <row r="108" spans="1:13" x14ac:dyDescent="0.35">
      <c r="A108" s="42"/>
      <c r="B108" s="5"/>
      <c r="C108" s="5"/>
      <c r="D108" s="24">
        <f>(C107-$B$4)*EXP(10*$D$13)</f>
        <v>4.2262791485728042E-2</v>
      </c>
      <c r="E108" s="23">
        <f>(D108-$B$4)*EXP(10*$E$13)</f>
        <v>5.1473018320156376E-2</v>
      </c>
      <c r="F108" s="23">
        <f>(E107-$B$4)*EXP(10*$E$13)</f>
        <v>6.6516364553025356E-2</v>
      </c>
      <c r="G108" s="23">
        <f>(F107-$B$4)*EXP(10*$G$13)</f>
        <v>9.0288522252471165E-2</v>
      </c>
      <c r="H108" s="22"/>
      <c r="J108" s="2">
        <f>MIN($B$8,AVERAGE(K109:K111)/(1+D109+$D$9/10000))+$B$7</f>
        <v>103.86447405132644</v>
      </c>
      <c r="K108" s="21"/>
      <c r="L108" s="21"/>
      <c r="M108" s="21"/>
    </row>
    <row r="109" spans="1:13" x14ac:dyDescent="0.35">
      <c r="A109" s="42"/>
      <c r="B109" s="5"/>
      <c r="C109" s="5"/>
      <c r="D109" s="10">
        <f>C107*EXP(10*$D$13)</f>
        <v>4.4735829055880534E-2</v>
      </c>
      <c r="E109" s="23">
        <f>(D109-$B$4)*EXP(10*$E$13)</f>
        <v>5.4634615006765065E-2</v>
      </c>
      <c r="F109" s="23">
        <f>(E108-$B$4)*EXP(10*$E$13)</f>
        <v>6.3247616083686314E-2</v>
      </c>
      <c r="G109" s="23">
        <f>(F108-$B$4)*EXP(10*$G$13)</f>
        <v>8.4683341484149827E-2</v>
      </c>
      <c r="H109" s="22"/>
      <c r="K109" s="2">
        <f>MIN($B$8,AVERAGE(L107:L110)/(1+E107+$D$9/10000))+$B$7</f>
        <v>103.6153198958323</v>
      </c>
      <c r="L109" s="21"/>
      <c r="M109" s="2">
        <f>MIN($B$8,(100+$B$7)/(1+G$88+$D$9/10000))+$B$7</f>
        <v>105.78139400000001</v>
      </c>
    </row>
    <row r="110" spans="1:13" x14ac:dyDescent="0.35">
      <c r="A110" s="46"/>
      <c r="B110" s="5"/>
      <c r="C110" s="5"/>
      <c r="D110" s="5"/>
      <c r="E110" s="10">
        <f>D109*EXP(10*$E$13)</f>
        <v>5.7191467943223884E-2</v>
      </c>
      <c r="F110" s="10">
        <f>E108*EXP(10*$F$13)</f>
        <v>6.7436860105179033E-2</v>
      </c>
      <c r="G110" s="10">
        <f>F108*EXP(10*$G$13)</f>
        <v>8.7308515486772056E-2</v>
      </c>
      <c r="H110" s="22"/>
      <c r="K110" s="21"/>
      <c r="L110" s="2">
        <f>MIN($B$8,AVERAGE(M103:M105)/(1+F110+$D$9/10000))+$B$7</f>
        <v>104.09850217236915</v>
      </c>
      <c r="M110" s="21"/>
    </row>
    <row r="111" spans="1:13" x14ac:dyDescent="0.35">
      <c r="A111" s="42"/>
      <c r="B111" s="5"/>
      <c r="C111" s="5"/>
      <c r="D111" s="5"/>
      <c r="E111" s="5"/>
      <c r="F111" s="23">
        <f>(E109-$B$4)*EXP(10*$E$13)</f>
        <v>6.7289484969713251E-2</v>
      </c>
      <c r="G111" s="23">
        <f>(F109-$B$4)*EXP(10*$G$13)</f>
        <v>8.0392824732739829E-2</v>
      </c>
      <c r="H111" s="20"/>
      <c r="I111" s="21"/>
      <c r="J111" s="21"/>
      <c r="K111" s="2">
        <f>MIN($B$8,AVERAGE(L112:L114)/(1+E110+$D$9/10000))+$B$7</f>
        <v>102.95919662853993</v>
      </c>
      <c r="L111" s="21"/>
      <c r="M111" s="2">
        <f>MIN($B$8,(100+$B$7)/(1+G$88+$D$9/10000))+$B$7</f>
        <v>105.78139400000001</v>
      </c>
    </row>
    <row r="112" spans="1:13" x14ac:dyDescent="0.35">
      <c r="A112" s="42"/>
      <c r="B112" s="5"/>
      <c r="C112" s="5"/>
      <c r="D112" s="5"/>
      <c r="E112" s="5"/>
      <c r="F112" s="10">
        <f>E109*EXP(10*$F$13)</f>
        <v>7.1578994380998975E-2</v>
      </c>
      <c r="G112" s="10">
        <f>F109*EXP(10*$G$13)</f>
        <v>8.3017998735362045E-2</v>
      </c>
      <c r="I112" s="21"/>
      <c r="J112" s="21"/>
      <c r="K112" s="21"/>
      <c r="L112" s="2">
        <f>MIN($B$8,AVERAGE(M105:M107)/(1+F112+$D$9/10000))+$B$7</f>
        <v>103.71544193632216</v>
      </c>
      <c r="M112" s="21"/>
    </row>
    <row r="113" spans="1:13" x14ac:dyDescent="0.35">
      <c r="A113" s="42"/>
      <c r="B113" s="5"/>
      <c r="C113" s="5"/>
      <c r="D113" s="5"/>
      <c r="E113" s="5"/>
      <c r="F113" s="23">
        <f>(E110-$B$4)*EXP(10*$E$13)</f>
        <v>7.0558233439052293E-2</v>
      </c>
      <c r="G113" s="23">
        <f>(F110-$B$4)*EXP(10*$G$13)</f>
        <v>8.5891571980671433E-2</v>
      </c>
      <c r="J113" s="21"/>
      <c r="K113" s="21"/>
      <c r="L113" s="21"/>
      <c r="M113" s="2">
        <f>MIN($B$8,(100+$B$7)/(1+G$88+$D$9/10000))+$B$7</f>
        <v>105.78139400000001</v>
      </c>
    </row>
    <row r="114" spans="1:13" x14ac:dyDescent="0.35">
      <c r="A114" s="42"/>
      <c r="B114" s="5"/>
      <c r="C114" s="5"/>
      <c r="D114" s="5"/>
      <c r="E114" s="5"/>
      <c r="F114" s="10">
        <f>E110*EXP(10*$F$13)</f>
        <v>7.4928829681369713E-2</v>
      </c>
      <c r="G114" s="10">
        <f>F110*EXP(10*$G$13)</f>
        <v>8.8516745983293663E-2</v>
      </c>
      <c r="K114" s="21"/>
      <c r="L114" s="2">
        <f>MIN($B$8,AVERAGE(M107:M109)/(1+F114+$D$9/10000))+$B$7</f>
        <v>103.40781182820794</v>
      </c>
      <c r="M114" s="21"/>
    </row>
    <row r="115" spans="1:13" x14ac:dyDescent="0.35">
      <c r="A115" s="42"/>
      <c r="B115" s="5"/>
      <c r="C115" s="5"/>
      <c r="D115" s="5"/>
      <c r="E115" s="5"/>
      <c r="F115" s="5"/>
      <c r="G115" s="23">
        <f>(F111-$B$4)*EXP(10*$G$13)</f>
        <v>8.5698129293542591E-2</v>
      </c>
      <c r="L115" s="21"/>
      <c r="M115" s="2">
        <f>MIN($B$8,(100+$B$7)/(1+G$88+$D$9/10000))+$B$7</f>
        <v>105.78139400000001</v>
      </c>
    </row>
    <row r="116" spans="1:13" x14ac:dyDescent="0.35">
      <c r="A116" s="42"/>
      <c r="B116" s="5"/>
      <c r="C116" s="5"/>
      <c r="D116" s="5"/>
      <c r="E116" s="5"/>
      <c r="F116" s="5"/>
      <c r="G116" s="10">
        <f>F111*EXP(10*$G$13)</f>
        <v>8.8323303296164807E-2</v>
      </c>
      <c r="M116" s="21"/>
    </row>
    <row r="117" spans="1:13" x14ac:dyDescent="0.35">
      <c r="A117" s="46"/>
      <c r="B117" s="5"/>
      <c r="C117" s="5"/>
      <c r="D117" s="5"/>
      <c r="E117" s="5"/>
      <c r="F117" s="5"/>
      <c r="G117" s="23">
        <f>(F112-0.001)*EXP(10*$G$13)</f>
        <v>9.2641070590109009E-2</v>
      </c>
      <c r="M117" s="2">
        <f>MIN($B$8,(100+$B$7)/(1+G$88+$D$9/10000))+$B$7</f>
        <v>105.78139400000001</v>
      </c>
    </row>
    <row r="118" spans="1:13" x14ac:dyDescent="0.35">
      <c r="A118" s="42"/>
      <c r="B118" s="5"/>
      <c r="C118" s="5"/>
      <c r="D118" s="5"/>
      <c r="E118" s="5"/>
      <c r="F118" s="5"/>
      <c r="G118" s="10">
        <f>F112*EXP(10*$G$13)</f>
        <v>9.3953657591420117E-2</v>
      </c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23">
        <f>(F113-$B$4)*EXP(10*$G$13)</f>
        <v>8.9988646044952603E-2</v>
      </c>
      <c r="H119" s="22"/>
      <c r="M119" s="2">
        <f>MIN($B$8,(100+$B$7)/(1+G$88+$D$9/10000))+$B$7</f>
        <v>105.78139400000001</v>
      </c>
    </row>
    <row r="120" spans="1:13" x14ac:dyDescent="0.35">
      <c r="A120" s="42"/>
      <c r="B120" s="5"/>
      <c r="C120" s="5"/>
      <c r="D120" s="5"/>
      <c r="E120" s="5"/>
      <c r="F120" s="5"/>
      <c r="G120" s="10">
        <f>F113*EXP(10*$G$13)</f>
        <v>9.2613820047574819E-2</v>
      </c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23">
        <f>(F114-$B$4)*EXP(10*$G$13)</f>
        <v>9.572543386059762E-2</v>
      </c>
      <c r="H121" s="22"/>
      <c r="M121" s="2">
        <f>MIN($B$8,(100+$B$7)/(1+G$88+$D$9/10000))+$B$7</f>
        <v>105.78139400000001</v>
      </c>
    </row>
    <row r="122" spans="1:13" x14ac:dyDescent="0.35">
      <c r="A122" s="42"/>
      <c r="B122" s="5"/>
      <c r="C122" s="5"/>
      <c r="D122" s="5"/>
      <c r="E122" s="5"/>
      <c r="F122" s="5"/>
      <c r="G122" s="10">
        <f>F114*EXP(10*$G$13)</f>
        <v>9.8350607863219836E-2</v>
      </c>
      <c r="H122" s="22"/>
      <c r="M122" s="21"/>
    </row>
    <row r="123" spans="1:13" x14ac:dyDescent="0.35">
      <c r="A123" s="38" t="s">
        <v>7</v>
      </c>
      <c r="B123" s="38">
        <v>1</v>
      </c>
      <c r="C123" s="40">
        <v>2</v>
      </c>
      <c r="D123" s="40">
        <v>3</v>
      </c>
      <c r="E123" s="40">
        <v>4</v>
      </c>
      <c r="F123" s="40">
        <v>5</v>
      </c>
      <c r="G123" s="40">
        <v>6</v>
      </c>
    </row>
    <row r="124" spans="1:13" x14ac:dyDescent="0.35">
      <c r="A124" s="41" t="s">
        <v>22</v>
      </c>
      <c r="B124" s="30">
        <f t="shared" ref="B124:G124" si="7">B13+0.001</f>
        <v>2.657E-2</v>
      </c>
      <c r="C124" s="30">
        <f t="shared" si="7"/>
        <v>2.444E-2</v>
      </c>
      <c r="D124" s="30">
        <f t="shared" si="7"/>
        <v>2.223E-2</v>
      </c>
      <c r="E124" s="30">
        <f t="shared" si="7"/>
        <v>2.5563000000000002E-2</v>
      </c>
      <c r="F124" s="30">
        <f t="shared" si="7"/>
        <v>2.8013400000000001E-2</v>
      </c>
      <c r="G124" s="30">
        <f t="shared" si="7"/>
        <v>2.8199999999999999E-2</v>
      </c>
    </row>
    <row r="125" spans="1:13" x14ac:dyDescent="0.35">
      <c r="A125" s="41" t="s">
        <v>9</v>
      </c>
      <c r="B125" s="6">
        <f t="shared" ref="B125:G125" si="8">B14</f>
        <v>3.1619111399999997E-2</v>
      </c>
      <c r="C125" s="6">
        <f t="shared" si="8"/>
        <v>3.29190688E-2</v>
      </c>
      <c r="D125" s="6">
        <f t="shared" si="8"/>
        <v>3.2519024600000002E-2</v>
      </c>
      <c r="E125" s="6">
        <f t="shared" si="8"/>
        <v>3.2819091259999995E-2</v>
      </c>
      <c r="F125" s="6">
        <f t="shared" si="8"/>
        <v>3.3319140267999994E-2</v>
      </c>
      <c r="G125" s="6">
        <f t="shared" si="8"/>
        <v>3.1819143999999994E-2</v>
      </c>
      <c r="M125"/>
    </row>
    <row r="126" spans="1:13" x14ac:dyDescent="0.35">
      <c r="A126" s="41" t="s">
        <v>0</v>
      </c>
      <c r="B126" s="8">
        <f t="shared" ref="B126:G126" si="9">1/(1+B125)^B13</f>
        <v>0.99920433486182636</v>
      </c>
      <c r="C126" s="8">
        <f t="shared" si="9"/>
        <v>0.99924109367559422</v>
      </c>
      <c r="D126" s="8">
        <f t="shared" si="9"/>
        <v>0.99932083949517314</v>
      </c>
      <c r="E126" s="8">
        <f t="shared" si="9"/>
        <v>0.99920712498212916</v>
      </c>
      <c r="F126" s="8">
        <f t="shared" si="9"/>
        <v>0.99911499828304107</v>
      </c>
      <c r="G126" s="8">
        <f t="shared" si="9"/>
        <v>0.99914836626703252</v>
      </c>
      <c r="H126" s="20"/>
      <c r="I126" s="21"/>
      <c r="J126" s="21"/>
      <c r="K126" s="21"/>
      <c r="L126" s="21"/>
      <c r="M126" s="21"/>
    </row>
    <row r="127" spans="1:13" x14ac:dyDescent="0.35">
      <c r="A127" s="47"/>
      <c r="B127" s="5"/>
      <c r="C127" s="5"/>
      <c r="D127" s="5"/>
      <c r="E127" s="5"/>
      <c r="F127" s="5"/>
      <c r="G127" s="10">
        <f>F135*EXP(10*$G$13)</f>
        <v>0.11553328808144978</v>
      </c>
      <c r="I127" s="21"/>
      <c r="J127" s="21"/>
      <c r="K127" s="21"/>
      <c r="L127" s="21"/>
      <c r="M127" s="21"/>
    </row>
    <row r="128" spans="1:13" x14ac:dyDescent="0.35">
      <c r="A128" s="47"/>
      <c r="B128" s="5"/>
      <c r="C128" s="5"/>
      <c r="D128" s="5"/>
      <c r="E128" s="5"/>
      <c r="F128" s="5"/>
      <c r="G128" s="13">
        <f>(F135+$B$4)*EXP(10*$G$13)</f>
        <v>0.11815846208407199</v>
      </c>
      <c r="H128" s="22"/>
      <c r="M128" s="2">
        <f>MIN($B$8,(100+$B$7)/(1+G$125+$D$9/10000))+$B$7</f>
        <v>105.78139400000001</v>
      </c>
    </row>
    <row r="129" spans="1:13" x14ac:dyDescent="0.35">
      <c r="A129" s="47"/>
      <c r="B129" s="5"/>
      <c r="C129" s="5"/>
      <c r="D129" s="5"/>
      <c r="E129" s="5"/>
      <c r="F129" s="5"/>
      <c r="G129" s="10">
        <f>F136*EXP(10*$G$13)</f>
        <v>0.11897263354328882</v>
      </c>
      <c r="H129" s="22"/>
      <c r="M129" s="21"/>
    </row>
    <row r="130" spans="1:13" x14ac:dyDescent="0.35">
      <c r="A130" s="47"/>
      <c r="B130" s="5"/>
      <c r="C130" s="5"/>
      <c r="D130" s="5"/>
      <c r="E130" s="5"/>
      <c r="F130" s="5"/>
      <c r="G130" s="13">
        <f>(F136+$B$4)*EXP(10*$G$13)</f>
        <v>0.12159780754591104</v>
      </c>
      <c r="H130" s="22"/>
      <c r="M130" s="2">
        <f>MIN($B$8,(100+$B$7)/(1+G$125+$D$9/10000))+$B$7</f>
        <v>105.78139400000001</v>
      </c>
    </row>
    <row r="131" spans="1:13" x14ac:dyDescent="0.35">
      <c r="A131" s="47"/>
      <c r="B131" s="5"/>
      <c r="C131" s="5"/>
      <c r="D131" s="5"/>
      <c r="E131" s="5"/>
      <c r="F131" s="5"/>
      <c r="G131" s="10">
        <f>F137*EXP(10*$G$13)</f>
        <v>0.11993023835324951</v>
      </c>
      <c r="H131" s="22"/>
      <c r="M131" s="21"/>
    </row>
    <row r="132" spans="1:13" x14ac:dyDescent="0.35">
      <c r="A132" s="47"/>
      <c r="B132" s="5"/>
      <c r="C132" s="5"/>
      <c r="D132" s="5"/>
      <c r="E132" s="5"/>
      <c r="F132" s="5"/>
      <c r="G132" s="13">
        <f>(F137+$B$4)*EXP(10*$G$13)</f>
        <v>0.12255541235587172</v>
      </c>
      <c r="H132" s="22"/>
      <c r="M132" s="2">
        <f>MIN($B$8,(100+$B$7)/(1+G$125+$D$9/10000))+$B$7</f>
        <v>105.78139400000001</v>
      </c>
    </row>
    <row r="133" spans="1:13" x14ac:dyDescent="0.35">
      <c r="A133" s="48"/>
      <c r="B133" s="5"/>
      <c r="C133" s="5"/>
      <c r="D133" s="5"/>
      <c r="E133" s="5"/>
      <c r="F133" s="5"/>
      <c r="G133" s="10">
        <f>F138*EXP(10*$G$13)</f>
        <v>0.12336958381508854</v>
      </c>
      <c r="H133" s="22"/>
      <c r="M133" s="21"/>
    </row>
    <row r="134" spans="1:13" x14ac:dyDescent="0.35">
      <c r="A134" s="48"/>
      <c r="B134" s="5"/>
      <c r="C134" s="5"/>
      <c r="D134" s="5"/>
      <c r="E134" s="5"/>
      <c r="F134" s="5"/>
      <c r="G134" s="13">
        <f>(F138+$B$4)*EXP(10*$G$13)</f>
        <v>0.12599475781771077</v>
      </c>
      <c r="H134" s="20"/>
      <c r="I134" s="21"/>
      <c r="J134" s="21"/>
      <c r="K134" s="21"/>
      <c r="L134" s="21"/>
      <c r="M134" s="2">
        <f>MIN($B$8,(100+$B$7)/(1+G$125+$D$9/10000))+$B$7</f>
        <v>105.78139400000001</v>
      </c>
    </row>
    <row r="135" spans="1:13" x14ac:dyDescent="0.35">
      <c r="A135" s="48"/>
      <c r="B135" s="5"/>
      <c r="C135" s="5"/>
      <c r="D135" s="5"/>
      <c r="E135" s="5"/>
      <c r="F135" s="10">
        <f>E139*EXP(10*$F$13)</f>
        <v>8.8019527822572247E-2</v>
      </c>
      <c r="G135" s="10">
        <f>F139*EXP(10*$G$13)</f>
        <v>0.12536714996137593</v>
      </c>
      <c r="I135" s="21"/>
      <c r="J135" s="21"/>
      <c r="K135" s="21"/>
      <c r="L135" s="2">
        <f>MIN($B$8,AVERAGE(M128:M130)/(1+F135+$D$9/10000))+$B$7</f>
        <v>102.2238009474865</v>
      </c>
      <c r="M135" s="21"/>
    </row>
    <row r="136" spans="1:13" x14ac:dyDescent="0.35">
      <c r="A136" s="49"/>
      <c r="B136" s="5"/>
      <c r="C136" s="5"/>
      <c r="D136" s="5"/>
      <c r="E136" s="5"/>
      <c r="F136" s="13">
        <f>(E139+$B$4)*EXP(10*$F$13)</f>
        <v>9.0639807818034324E-2</v>
      </c>
      <c r="G136" s="13">
        <f>(F139+$B$4)*EXP(10*$G$13)</f>
        <v>0.12799232396399818</v>
      </c>
      <c r="J136" s="21"/>
      <c r="K136" s="21"/>
      <c r="L136" s="21"/>
      <c r="M136" s="2">
        <f>MIN($B$8,(100+$B$7)/(1+G$125+$D$9/10000))+$B$7</f>
        <v>105.78139400000001</v>
      </c>
    </row>
    <row r="137" spans="1:13" x14ac:dyDescent="0.35">
      <c r="A137" s="49"/>
      <c r="B137" s="5"/>
      <c r="C137" s="5"/>
      <c r="D137" s="5"/>
      <c r="E137" s="5"/>
      <c r="F137" s="10">
        <f>E140*EXP(10*$F$13)</f>
        <v>9.1369363122942998E-2</v>
      </c>
      <c r="G137" s="10">
        <f>F140*EXP(10*$G$13)</f>
        <v>0.12880649542321498</v>
      </c>
      <c r="K137" s="21"/>
      <c r="L137" s="2">
        <f>MIN($B$8,AVERAGE(M130:M132)/(1+F137+$D$9/10000))+$B$7</f>
        <v>101.92538344425168</v>
      </c>
      <c r="M137" s="21"/>
    </row>
    <row r="138" spans="1:13" x14ac:dyDescent="0.35">
      <c r="A138" s="49"/>
      <c r="B138" s="5"/>
      <c r="C138" s="5"/>
      <c r="D138" s="5"/>
      <c r="E138" s="5"/>
      <c r="F138" s="13">
        <f>(E140+$B$4)*EXP(10*$F$13)</f>
        <v>9.3989643118405061E-2</v>
      </c>
      <c r="G138" s="13">
        <f>(F140+$B$4)*EXP(10*$G$13)</f>
        <v>0.1314316694258372</v>
      </c>
      <c r="K138" s="2">
        <f>MIN($B$8,AVERAGE(L135:L137)/(1+E139+$D$9/10000))+$B$7</f>
        <v>100.64860342738106</v>
      </c>
      <c r="L138" s="21"/>
      <c r="M138" s="2">
        <f>MIN($B$8,(100+$B$7)/(1+G$125+$D$9/10000))+$B$7</f>
        <v>105.78139400000001</v>
      </c>
    </row>
    <row r="139" spans="1:13" x14ac:dyDescent="0.35">
      <c r="A139" s="49"/>
      <c r="B139" s="5"/>
      <c r="C139" s="5"/>
      <c r="D139" s="5"/>
      <c r="E139" s="10">
        <f>D140*EXP(10*$E$13)</f>
        <v>6.718329947563545E-2</v>
      </c>
      <c r="F139" s="10">
        <f>E141*EXP(10*$F$13)</f>
        <v>9.5511497398762926E-2</v>
      </c>
      <c r="G139" s="10">
        <f>F141*EXP(10*$G$13)</f>
        <v>0.12440954515141528</v>
      </c>
      <c r="K139" s="21"/>
      <c r="L139" s="2">
        <f>MIN($B$8,AVERAGE(M132:M134)/(1+F139+$D$9/10000))+$B$7</f>
        <v>101.55890810016382</v>
      </c>
      <c r="M139" s="21"/>
    </row>
    <row r="140" spans="1:13" x14ac:dyDescent="0.35">
      <c r="A140" s="49"/>
      <c r="B140" s="5"/>
      <c r="C140" s="5"/>
      <c r="D140" s="10">
        <f>C142*EXP(10*$D$13)</f>
        <v>5.2551555482641732E-2</v>
      </c>
      <c r="E140" s="13">
        <f>(D140+$B$4)*EXP(10*$E$13)</f>
        <v>6.9740152412094275E-2</v>
      </c>
      <c r="F140" s="13">
        <f>(E141+$B$4)*EXP(10*$F$13)</f>
        <v>9.8131777394224989E-2</v>
      </c>
      <c r="G140" s="13">
        <f>(F141+$B$4)*EXP(10*$G$13)</f>
        <v>0.1270347191540375</v>
      </c>
      <c r="K140" s="2">
        <f>MIN($B$8,AVERAGE(L139:L142)/(1+E142+$D$9/10000))+$B$7</f>
        <v>100.02263177756481</v>
      </c>
      <c r="L140" s="21"/>
      <c r="M140" s="2">
        <f>MIN($B$8,(100+$B$7)/(1+G$125+$D$9/10000))+$B$7</f>
        <v>105.78139400000001</v>
      </c>
    </row>
    <row r="141" spans="1:13" x14ac:dyDescent="0.35">
      <c r="A141" s="49"/>
      <c r="B141" s="5"/>
      <c r="C141" s="5"/>
      <c r="D141" s="13">
        <f>(C142+$B$4)*EXP(10*$D$13)</f>
        <v>5.5024593052794224E-2</v>
      </c>
      <c r="E141" s="13">
        <f>(D141+$B$4)*EXP(10*$E$13)</f>
        <v>7.290174909870295E-2</v>
      </c>
      <c r="F141" s="13">
        <f>(E142+$B$4)*EXP(10*$F$13)</f>
        <v>9.4781942093854266E-2</v>
      </c>
      <c r="G141" s="13">
        <f>(F142+$B$4)*EXP(10*$G$13)</f>
        <v>0.12359537369219846</v>
      </c>
      <c r="H141" s="22"/>
      <c r="J141" s="2">
        <f>MIN($B$8,AVERAGE(K138:K140)/(1+D141+$D$9/10000))+$B$7</f>
        <v>100.10263387523904</v>
      </c>
      <c r="K141" s="21"/>
      <c r="L141" s="21"/>
      <c r="M141" s="21"/>
    </row>
    <row r="142" spans="1:13" x14ac:dyDescent="0.35">
      <c r="A142" s="49"/>
      <c r="B142" s="5"/>
      <c r="C142" s="23">
        <f>(B143+$B$4)*EXP(10*$C$13)</f>
        <v>4.2499601394572713E-2</v>
      </c>
      <c r="D142" s="5"/>
      <c r="E142" s="10">
        <f>D141*EXP(10*$E$13)</f>
        <v>7.0344896162244139E-2</v>
      </c>
      <c r="F142" s="10">
        <f>E142*EXP(10*$F$13)</f>
        <v>9.2161662098392202E-2</v>
      </c>
      <c r="G142" s="10">
        <f>F142*EXP(10*$G$13)</f>
        <v>0.12097019968957624</v>
      </c>
      <c r="H142" s="22"/>
      <c r="I142" s="2">
        <f>MIN($B$8,AVERAGE(J141:J141)/(1+C142+$D$9/10000))+$B$7</f>
        <v>101.02174786573514</v>
      </c>
      <c r="J142" s="21"/>
      <c r="K142" s="21"/>
      <c r="L142" s="2">
        <f>MIN($B$8,AVERAGE(M135:M137)/(1+F142+$D$9/10000))+$B$7</f>
        <v>101.85506978587775</v>
      </c>
      <c r="M142" s="2">
        <f>MIN($B$8,(100+$B$7)/(1+G$125+$D$9/10000))+$B$7</f>
        <v>105.78139400000001</v>
      </c>
    </row>
    <row r="143" spans="1:13" x14ac:dyDescent="0.35">
      <c r="A143" s="49"/>
      <c r="B143" s="10">
        <f>B125</f>
        <v>3.1619111399999997E-2</v>
      </c>
      <c r="C143" s="19"/>
      <c r="D143" s="5"/>
      <c r="E143" s="5"/>
      <c r="F143" s="5"/>
      <c r="G143" s="5"/>
      <c r="H143" s="3" t="e">
        <f>AVERAGE(I143:I144)/(1+B143+$G$5/10000)</f>
        <v>#VALUE!</v>
      </c>
    </row>
    <row r="144" spans="1:13" x14ac:dyDescent="0.35">
      <c r="A144" s="49"/>
      <c r="B144" s="5"/>
      <c r="C144" s="23">
        <f>(B143-$B$4)*EXP(10*$C$13)</f>
        <v>3.7443001190133912E-2</v>
      </c>
      <c r="D144" s="5"/>
      <c r="E144" s="10">
        <f>D145*EXP(10*$E$13)</f>
        <v>5.6028237563097515E-2</v>
      </c>
      <c r="F144" s="10">
        <f>E144*EXP(10*$F$13)</f>
        <v>7.3404835033790292E-2</v>
      </c>
      <c r="G144" s="10">
        <f>F144*EXP(10*$G$13)</f>
        <v>9.6350232298739388E-2</v>
      </c>
      <c r="H144" s="22"/>
      <c r="I144" s="2">
        <f>MIN($B$8,AVERAGE(J145:J145)/(1+C144+$D$9/10000))+$B$7</f>
        <v>104.59263421610795</v>
      </c>
      <c r="J144" s="21"/>
      <c r="K144" s="21"/>
      <c r="L144" s="2">
        <f>MIN($B$8,AVERAGE(M137:M139)/(1+F144+$D$9/10000))+$B$7</f>
        <v>103.54752889823722</v>
      </c>
      <c r="M144" s="2">
        <f>MIN($B$8,(100+$B$7)/(1+G$125+$D$9/10000))+$B$7</f>
        <v>105.78139400000001</v>
      </c>
    </row>
    <row r="145" spans="1:13" x14ac:dyDescent="0.35">
      <c r="A145" s="49"/>
      <c r="B145" s="5"/>
      <c r="C145" s="5"/>
      <c r="D145" s="24">
        <f>(C144-$B$4)*EXP(10*$D$13)</f>
        <v>4.3825936771080286E-2</v>
      </c>
      <c r="E145" s="23">
        <f>(D145-$B$4)*EXP(10*$E$13)</f>
        <v>5.3471384626638696E-2</v>
      </c>
      <c r="F145" s="23">
        <f>(E144-$B$4)*EXP(10*$E$13)</f>
        <v>6.9071128932450196E-2</v>
      </c>
      <c r="G145" s="23">
        <f>(F144-$B$4)*EXP(10*$G$13)</f>
        <v>9.3725058296117172E-2</v>
      </c>
      <c r="H145" s="22"/>
      <c r="J145" s="2">
        <f>MIN($B$8,AVERAGE(K146:K148)/(1+D146+$D$9/10000))+$B$7</f>
        <v>103.32168133759025</v>
      </c>
      <c r="K145" s="21"/>
      <c r="L145" s="21"/>
      <c r="M145" s="21"/>
    </row>
    <row r="146" spans="1:13" x14ac:dyDescent="0.35">
      <c r="A146" s="49"/>
      <c r="B146" s="5"/>
      <c r="C146" s="5"/>
      <c r="D146" s="10">
        <f>C144*EXP(10*$D$13)</f>
        <v>4.6298974341232778E-2</v>
      </c>
      <c r="E146" s="23">
        <f>(D146-$B$4)*EXP(10*$E$13)</f>
        <v>5.6632981313247385E-2</v>
      </c>
      <c r="F146" s="23">
        <f>(E145-$B$4)*EXP(10*$E$13)</f>
        <v>6.5802380463111154E-2</v>
      </c>
      <c r="G146" s="23">
        <f>(F145-$B$4)*EXP(10*$G$13)</f>
        <v>8.8036691999995517E-2</v>
      </c>
      <c r="H146" s="22"/>
      <c r="K146" s="2">
        <f>MIN($B$8,AVERAGE(L144:L147)/(1+E144+$D$9/10000))+$B$7</f>
        <v>103.19981892926042</v>
      </c>
      <c r="L146" s="21"/>
      <c r="M146" s="2">
        <f>MIN($B$8,(100+$B$7)/(1+G$125+$D$9/10000))+$B$7</f>
        <v>105.78139400000001</v>
      </c>
    </row>
    <row r="147" spans="1:13" x14ac:dyDescent="0.35">
      <c r="A147" s="49"/>
      <c r="B147" s="5"/>
      <c r="C147" s="5"/>
      <c r="D147" s="5"/>
      <c r="E147" s="10">
        <f>D146*EXP(10*$E$13)</f>
        <v>5.9189834249706204E-2</v>
      </c>
      <c r="F147" s="10">
        <f>E145*EXP(10*$F$13)</f>
        <v>7.005499973341954E-2</v>
      </c>
      <c r="G147" s="10">
        <f>F145*EXP(10*$G$13)</f>
        <v>9.0661866002617733E-2</v>
      </c>
      <c r="H147" s="22"/>
      <c r="K147" s="21"/>
      <c r="L147" s="2">
        <f>MIN($B$8,AVERAGE(M140:M142)/(1+F147+$D$9/10000))+$B$7</f>
        <v>103.85603452752719</v>
      </c>
      <c r="M147" s="21"/>
    </row>
    <row r="148" spans="1:13" x14ac:dyDescent="0.35">
      <c r="A148" s="49"/>
      <c r="B148" s="5"/>
      <c r="C148" s="5"/>
      <c r="D148" s="5"/>
      <c r="E148" s="5"/>
      <c r="F148" s="23">
        <f>(E146-$B$4)*EXP(10*$E$13)</f>
        <v>6.9844249349138091E-2</v>
      </c>
      <c r="G148" s="23">
        <f>(F146-$B$4)*EXP(10*$G$13)</f>
        <v>8.3746175248585505E-2</v>
      </c>
      <c r="H148" s="20"/>
      <c r="I148" s="21"/>
      <c r="J148" s="21"/>
      <c r="K148" s="2">
        <f>MIN($B$8,AVERAGE(L149:L151)/(1+E147+$D$9/10000))+$B$7</f>
        <v>102.54792974879199</v>
      </c>
      <c r="L148" s="21"/>
      <c r="M148" s="2">
        <f>MIN($B$8,(100+$B$7)/(1+G$125+$D$9/10000))+$B$7</f>
        <v>105.78139400000001</v>
      </c>
    </row>
    <row r="149" spans="1:13" x14ac:dyDescent="0.35">
      <c r="A149" s="49"/>
      <c r="B149" s="5"/>
      <c r="C149" s="5"/>
      <c r="D149" s="5"/>
      <c r="E149" s="5"/>
      <c r="F149" s="10">
        <f>E146*EXP(10*$F$13)</f>
        <v>7.4197134009239496E-2</v>
      </c>
      <c r="G149" s="10">
        <f>F146*EXP(10*$G$13)</f>
        <v>8.6371349251207721E-2</v>
      </c>
      <c r="I149" s="21"/>
      <c r="J149" s="21"/>
      <c r="K149" s="21"/>
      <c r="L149" s="2">
        <f>MIN($B$8,AVERAGE(M142:M144)/(1+F149+$D$9/10000))+$B$7</f>
        <v>103.4748428858591</v>
      </c>
      <c r="M149" s="21"/>
    </row>
    <row r="150" spans="1:13" x14ac:dyDescent="0.35">
      <c r="A150" s="49"/>
      <c r="B150" s="5"/>
      <c r="C150" s="5"/>
      <c r="D150" s="5"/>
      <c r="E150" s="5"/>
      <c r="F150" s="23">
        <f>(E147-$B$4)*EXP(10*$E$13)</f>
        <v>7.3112997818477132E-2</v>
      </c>
      <c r="G150" s="23">
        <f>(F147-$B$4)*EXP(10*$G$13)</f>
        <v>8.9328108024317426E-2</v>
      </c>
      <c r="J150" s="21"/>
      <c r="K150" s="21"/>
      <c r="L150" s="21"/>
      <c r="M150" s="2">
        <f>MIN($B$8,(100+$B$7)/(1+G$125+$D$9/10000))+$B$7</f>
        <v>105.78139400000001</v>
      </c>
    </row>
    <row r="151" spans="1:13" x14ac:dyDescent="0.35">
      <c r="A151" s="49"/>
      <c r="B151" s="5"/>
      <c r="C151" s="5"/>
      <c r="D151" s="5"/>
      <c r="E151" s="5"/>
      <c r="F151" s="10">
        <f>E147*EXP(10*$F$13)</f>
        <v>7.7546969309610234E-2</v>
      </c>
      <c r="G151" s="10">
        <f>F147*EXP(10*$G$13)</f>
        <v>9.1953282026939642E-2</v>
      </c>
      <c r="K151" s="21"/>
      <c r="L151" s="2">
        <f>MIN($B$8,AVERAGE(M144:M146)/(1+F151+$D$9/10000))+$B$7</f>
        <v>103.16870819819081</v>
      </c>
      <c r="M151" s="21"/>
    </row>
    <row r="152" spans="1:13" x14ac:dyDescent="0.35">
      <c r="A152" s="49"/>
      <c r="B152" s="5"/>
      <c r="C152" s="5"/>
      <c r="D152" s="5"/>
      <c r="E152" s="5"/>
      <c r="F152" s="5"/>
      <c r="G152" s="23">
        <f>(F148-$B$4)*EXP(10*$G$13)</f>
        <v>8.9051479809388268E-2</v>
      </c>
      <c r="L152" s="21"/>
      <c r="M152" s="2">
        <f>MIN($B$8,(100+$B$7)/(1+G$125+$D$9/10000))+$B$7</f>
        <v>105.78139400000001</v>
      </c>
    </row>
    <row r="153" spans="1:13" x14ac:dyDescent="0.35">
      <c r="A153" s="49"/>
      <c r="B153" s="5"/>
      <c r="C153" s="5"/>
      <c r="D153" s="5"/>
      <c r="E153" s="5"/>
      <c r="F153" s="5"/>
      <c r="G153" s="10">
        <f>F148*EXP(10*$G$13)</f>
        <v>9.1676653812010497E-2</v>
      </c>
      <c r="M153" s="21"/>
    </row>
    <row r="154" spans="1:13" x14ac:dyDescent="0.35">
      <c r="A154" s="49"/>
      <c r="B154" s="5"/>
      <c r="C154" s="5"/>
      <c r="D154" s="5"/>
      <c r="E154" s="5"/>
      <c r="F154" s="5"/>
      <c r="G154" s="23">
        <f>(F149-0.001)*EXP(10*$G$13)</f>
        <v>9.6077606633755003E-2</v>
      </c>
      <c r="M154" s="2">
        <f>MIN($B$8,(100+$B$7)/(1+G$125+$D$9/10000))+$B$7</f>
        <v>105.78139400000001</v>
      </c>
    </row>
    <row r="155" spans="1:13" x14ac:dyDescent="0.35">
      <c r="A155" s="49"/>
      <c r="B155" s="5"/>
      <c r="C155" s="5"/>
      <c r="D155" s="5"/>
      <c r="E155" s="5"/>
      <c r="F155" s="5"/>
      <c r="G155" s="10">
        <f>F149*EXP(10*$G$13)</f>
        <v>9.7390193635066125E-2</v>
      </c>
      <c r="H155" s="22"/>
      <c r="M155" s="21"/>
    </row>
    <row r="156" spans="1:13" x14ac:dyDescent="0.35">
      <c r="A156" s="49"/>
      <c r="B156" s="5"/>
      <c r="C156" s="5"/>
      <c r="D156" s="5"/>
      <c r="E156" s="5"/>
      <c r="F156" s="5"/>
      <c r="G156" s="23">
        <f>(F150-$B$4)*EXP(10*$G$13)</f>
        <v>9.3341996560798279E-2</v>
      </c>
      <c r="H156" s="22"/>
      <c r="M156" s="2">
        <f>MIN($B$8,(100+$B$7)/(1+G$125+$D$9/10000))+$B$7</f>
        <v>105.78139400000001</v>
      </c>
    </row>
    <row r="157" spans="1:13" x14ac:dyDescent="0.35">
      <c r="A157" s="49"/>
      <c r="B157" s="5"/>
      <c r="C157" s="5"/>
      <c r="D157" s="5"/>
      <c r="E157" s="5"/>
      <c r="F157" s="5"/>
      <c r="G157" s="10">
        <f>F150*EXP(10*$G$13)</f>
        <v>9.5967170563420495E-2</v>
      </c>
      <c r="H157" s="22"/>
      <c r="M157" s="21"/>
    </row>
    <row r="158" spans="1:13" x14ac:dyDescent="0.35">
      <c r="A158" s="49"/>
      <c r="B158" s="5"/>
      <c r="C158" s="5"/>
      <c r="D158" s="5"/>
      <c r="E158" s="5"/>
      <c r="F158" s="5"/>
      <c r="G158" s="23">
        <f>(F151-$B$4)*EXP(10*$G$13)</f>
        <v>9.9161969904243627E-2</v>
      </c>
      <c r="H158" s="22"/>
      <c r="M158" s="2">
        <f>MIN($B$8,(100+$B$7)/(1+G$125+$D$9/10000))+$B$7</f>
        <v>105.78139400000001</v>
      </c>
    </row>
    <row r="159" spans="1:13" x14ac:dyDescent="0.35">
      <c r="A159" s="49"/>
      <c r="B159" s="5"/>
      <c r="C159" s="5"/>
      <c r="D159" s="5"/>
      <c r="E159" s="5"/>
      <c r="F159" s="5"/>
      <c r="G159" s="10">
        <f>F151*EXP(10*$G$13)</f>
        <v>0.10178714390686584</v>
      </c>
    </row>
    <row r="160" spans="1:13" x14ac:dyDescent="0.35">
      <c r="A160" s="38" t="s">
        <v>7</v>
      </c>
      <c r="B160" s="38">
        <v>1</v>
      </c>
      <c r="C160" s="40">
        <v>2</v>
      </c>
      <c r="D160" s="40">
        <v>3</v>
      </c>
      <c r="E160" s="40">
        <v>4</v>
      </c>
      <c r="F160" s="40">
        <v>5</v>
      </c>
      <c r="G160" s="40">
        <v>6</v>
      </c>
    </row>
    <row r="161" spans="1:13" x14ac:dyDescent="0.35">
      <c r="A161" s="41" t="s">
        <v>23</v>
      </c>
      <c r="B161" s="30">
        <f>B13-0.001</f>
        <v>2.4569999999999998E-2</v>
      </c>
      <c r="C161" s="30">
        <f>C13-0.001</f>
        <v>2.2439999999999998E-2</v>
      </c>
      <c r="D161" s="30">
        <f>D13-0.001</f>
        <v>2.0229999999999998E-2</v>
      </c>
      <c r="E161" s="30">
        <f>E13-0.001</f>
        <v>2.3563000000000001E-2</v>
      </c>
      <c r="F161" s="30">
        <f>F13-0.001</f>
        <v>2.6013399999999999E-2</v>
      </c>
      <c r="G161" s="30">
        <f>G13-0.0011</f>
        <v>2.6099999999999998E-2</v>
      </c>
    </row>
    <row r="162" spans="1:13" x14ac:dyDescent="0.35">
      <c r="A162" s="41" t="s">
        <v>9</v>
      </c>
      <c r="B162" s="6">
        <f t="shared" ref="B162:G162" si="10">B14</f>
        <v>3.1619111399999997E-2</v>
      </c>
      <c r="C162" s="6">
        <f t="shared" si="10"/>
        <v>3.29190688E-2</v>
      </c>
      <c r="D162" s="6">
        <f t="shared" si="10"/>
        <v>3.2519024600000002E-2</v>
      </c>
      <c r="E162" s="6">
        <f t="shared" si="10"/>
        <v>3.2819091259999995E-2</v>
      </c>
      <c r="F162" s="6">
        <f t="shared" si="10"/>
        <v>3.3319140267999994E-2</v>
      </c>
      <c r="G162" s="6">
        <f t="shared" si="10"/>
        <v>3.1819143999999994E-2</v>
      </c>
    </row>
    <row r="163" spans="1:13" x14ac:dyDescent="0.35">
      <c r="A163" s="41" t="s">
        <v>0</v>
      </c>
      <c r="B163" s="8">
        <f t="shared" ref="B163:G163" si="11">1/(1+B162)^B13</f>
        <v>0.99920433486182636</v>
      </c>
      <c r="C163" s="8">
        <f t="shared" si="11"/>
        <v>0.99924109367559422</v>
      </c>
      <c r="D163" s="8">
        <f t="shared" si="11"/>
        <v>0.99932083949517314</v>
      </c>
      <c r="E163" s="8">
        <f t="shared" si="11"/>
        <v>0.99920712498212916</v>
      </c>
      <c r="F163" s="8">
        <f t="shared" si="11"/>
        <v>0.99911499828304107</v>
      </c>
      <c r="G163" s="8">
        <f t="shared" si="11"/>
        <v>0.99914836626703252</v>
      </c>
    </row>
    <row r="164" spans="1:13" x14ac:dyDescent="0.35">
      <c r="A164" s="9"/>
      <c r="B164" s="5"/>
      <c r="C164" s="5"/>
      <c r="D164" s="5"/>
      <c r="E164" s="5"/>
      <c r="F164" s="5"/>
      <c r="G164" s="10">
        <f>F172*EXP(10*$G$13)</f>
        <v>0.11553328808144978</v>
      </c>
    </row>
    <row r="165" spans="1:13" x14ac:dyDescent="0.35">
      <c r="A165" s="9"/>
      <c r="B165" s="5"/>
      <c r="C165" s="5"/>
      <c r="D165" s="5"/>
      <c r="E165" s="5"/>
      <c r="F165" s="5"/>
      <c r="G165" s="13">
        <f>(F172+$B$4)*EXP(10*$G$13)</f>
        <v>0.11815846208407199</v>
      </c>
      <c r="H165" s="22"/>
      <c r="M165" s="2">
        <f>MIN($B$8,(100+$B$7)/(1+G$162+$D$9/10000))+$B$7</f>
        <v>105.78139400000001</v>
      </c>
    </row>
    <row r="166" spans="1:13" x14ac:dyDescent="0.35">
      <c r="A166" s="9"/>
      <c r="B166" s="5"/>
      <c r="C166" s="5"/>
      <c r="D166" s="5"/>
      <c r="E166" s="5"/>
      <c r="F166" s="5"/>
      <c r="G166" s="10">
        <f>F173*EXP(10*$G$13)</f>
        <v>0.11897263354328882</v>
      </c>
      <c r="H166" s="22"/>
      <c r="M166" s="21"/>
    </row>
    <row r="167" spans="1:13" x14ac:dyDescent="0.35">
      <c r="A167" s="9"/>
      <c r="B167" s="5"/>
      <c r="C167" s="5"/>
      <c r="D167" s="5"/>
      <c r="E167" s="5"/>
      <c r="F167" s="5"/>
      <c r="G167" s="13">
        <f>(F173+$B$4)*EXP(10*$G$13)</f>
        <v>0.12159780754591104</v>
      </c>
      <c r="H167" s="22"/>
      <c r="M167" s="2">
        <f>MIN($B$8,(100+$B$7)/(1+G$162+$D$9/10000))+$B$7</f>
        <v>105.78139400000001</v>
      </c>
    </row>
    <row r="168" spans="1:13" x14ac:dyDescent="0.35">
      <c r="A168" s="9"/>
      <c r="B168" s="5"/>
      <c r="C168" s="5"/>
      <c r="D168" s="5"/>
      <c r="E168" s="5"/>
      <c r="F168" s="5"/>
      <c r="G168" s="10">
        <f>F174*EXP(10*$G$13)</f>
        <v>0.11993023835324951</v>
      </c>
      <c r="H168" s="22"/>
      <c r="M168" s="21"/>
    </row>
    <row r="169" spans="1:13" x14ac:dyDescent="0.35">
      <c r="A169" s="9"/>
      <c r="B169" s="5"/>
      <c r="C169" s="5"/>
      <c r="D169" s="5"/>
      <c r="E169" s="5"/>
      <c r="F169" s="5"/>
      <c r="G169" s="13">
        <f>(F174+$B$4)*EXP(10*$G$13)</f>
        <v>0.12255541235587172</v>
      </c>
      <c r="H169" s="22"/>
      <c r="M169" s="2">
        <f>MIN($B$8,(100+$B$7)/(1+G$162+$D$9/10000))+$B$7</f>
        <v>105.78139400000001</v>
      </c>
    </row>
    <row r="170" spans="1:13" x14ac:dyDescent="0.35">
      <c r="B170" s="5"/>
      <c r="C170" s="5"/>
      <c r="D170" s="5"/>
      <c r="E170" s="5"/>
      <c r="F170" s="5"/>
      <c r="G170" s="10">
        <f>F175*EXP(10*$G$13)</f>
        <v>0.12336958381508854</v>
      </c>
      <c r="H170" s="22"/>
      <c r="M170" s="21"/>
    </row>
    <row r="171" spans="1:13" x14ac:dyDescent="0.35">
      <c r="B171" s="5"/>
      <c r="C171" s="5"/>
      <c r="D171" s="5"/>
      <c r="E171" s="5"/>
      <c r="F171" s="5"/>
      <c r="G171" s="13">
        <f>(F175+$B$4)*EXP(10*$G$13)</f>
        <v>0.12599475781771077</v>
      </c>
      <c r="H171" s="20"/>
      <c r="I171" s="21"/>
      <c r="J171" s="21"/>
      <c r="K171" s="21"/>
      <c r="L171" s="21"/>
      <c r="M171" s="2">
        <f>MIN($B$8,(100+$B$7)/(1+G$162+$D$9/10000))+$B$7</f>
        <v>105.78139400000001</v>
      </c>
    </row>
    <row r="172" spans="1:13" x14ac:dyDescent="0.35">
      <c r="B172" s="5"/>
      <c r="C172" s="5"/>
      <c r="D172" s="5"/>
      <c r="E172" s="5"/>
      <c r="F172" s="10">
        <f>E176*EXP(10*$F$13)</f>
        <v>8.8019527822572247E-2</v>
      </c>
      <c r="G172" s="10">
        <f>F176*EXP(10*$G$13)</f>
        <v>0.12536714996137593</v>
      </c>
      <c r="I172" s="21"/>
      <c r="J172" s="21"/>
      <c r="K172" s="21"/>
      <c r="L172" s="2">
        <f>MIN($B$8,AVERAGE(M165:M167)/(1+F172+$D$9/10000))+$B$7</f>
        <v>102.2238009474865</v>
      </c>
      <c r="M172" s="21"/>
    </row>
    <row r="173" spans="1:13" x14ac:dyDescent="0.35">
      <c r="B173" s="5"/>
      <c r="C173" s="5"/>
      <c r="D173" s="5"/>
      <c r="E173" s="5"/>
      <c r="F173" s="13">
        <f>(E176+$B$4)*EXP(10*$F$13)</f>
        <v>9.0639807818034324E-2</v>
      </c>
      <c r="G173" s="13">
        <f>(F176+$B$4)*EXP(10*$G$13)</f>
        <v>0.12799232396399818</v>
      </c>
      <c r="J173" s="21"/>
      <c r="K173" s="21"/>
      <c r="L173" s="21"/>
      <c r="M173" s="2">
        <f>MIN($B$8,(100+$B$7)/(1+G$162+$D$9/10000))+$B$7</f>
        <v>105.78139400000001</v>
      </c>
    </row>
    <row r="174" spans="1:13" x14ac:dyDescent="0.35">
      <c r="B174" s="5"/>
      <c r="C174" s="5"/>
      <c r="D174" s="5"/>
      <c r="E174" s="5"/>
      <c r="F174" s="10">
        <f>E177*EXP(10*$F$13)</f>
        <v>9.1369363122942998E-2</v>
      </c>
      <c r="G174" s="10">
        <f>F177*EXP(10*$G$13)</f>
        <v>0.12880649542321498</v>
      </c>
      <c r="K174" s="21"/>
      <c r="L174" s="2">
        <f>MIN($B$8,AVERAGE(M167:M169)/(1+F174+$D$9/10000))+$B$7</f>
        <v>101.92538344425168</v>
      </c>
      <c r="M174" s="21"/>
    </row>
    <row r="175" spans="1:13" x14ac:dyDescent="0.35">
      <c r="B175" s="5"/>
      <c r="C175" s="5"/>
      <c r="D175" s="5"/>
      <c r="E175" s="5"/>
      <c r="F175" s="13">
        <f>(E177+$B$4)*EXP(10*$F$13)</f>
        <v>9.3989643118405061E-2</v>
      </c>
      <c r="G175" s="13">
        <f>(F177+$B$4)*EXP(10*$G$13)</f>
        <v>0.1314316694258372</v>
      </c>
      <c r="K175" s="2">
        <f>MIN($B$8,AVERAGE(L172:L174)/(1+E176+$D$9/10000))+$B$7</f>
        <v>100.64860342738106</v>
      </c>
      <c r="L175" s="21"/>
      <c r="M175" s="2">
        <f>MIN($B$8,(100+$B$7)/(1+G$162+$D$9/10000))+$B$7</f>
        <v>105.78139400000001</v>
      </c>
    </row>
    <row r="176" spans="1:13" x14ac:dyDescent="0.35">
      <c r="B176" s="5"/>
      <c r="C176" s="5"/>
      <c r="D176" s="5"/>
      <c r="E176" s="10">
        <f>D177*EXP(10*$E$13)</f>
        <v>6.718329947563545E-2</v>
      </c>
      <c r="F176" s="10">
        <f>E178*EXP(10*$F$13)</f>
        <v>9.5511497398762926E-2</v>
      </c>
      <c r="G176" s="10">
        <f>F178*EXP(10*$G$13)</f>
        <v>0.12440954515141528</v>
      </c>
      <c r="K176" s="21"/>
      <c r="L176" s="2">
        <f>MIN($B$8,AVERAGE(M169:M171)/(1+F176+$D$9/10000))+$B$7</f>
        <v>101.55890810016382</v>
      </c>
      <c r="M176" s="21"/>
    </row>
    <row r="177" spans="2:13" x14ac:dyDescent="0.35">
      <c r="B177" s="5"/>
      <c r="C177" s="5"/>
      <c r="D177" s="10">
        <f>C179*EXP(10*$D$13)</f>
        <v>5.2551555482641732E-2</v>
      </c>
      <c r="E177" s="13">
        <f>(D177+$B$4)*EXP(10*$E$13)</f>
        <v>6.9740152412094275E-2</v>
      </c>
      <c r="F177" s="13">
        <f>(E178+$B$4)*EXP(10*$F$13)</f>
        <v>9.8131777394224989E-2</v>
      </c>
      <c r="G177" s="13">
        <f>(F178+$B$4)*EXP(10*$G$13)</f>
        <v>0.1270347191540375</v>
      </c>
      <c r="K177" s="2">
        <f>MIN($B$8,AVERAGE(L176:L179)/(1+E179+$D$9/10000))+$B$7</f>
        <v>100.02263177756481</v>
      </c>
      <c r="L177" s="21"/>
      <c r="M177" s="2">
        <f>MIN($B$8,(100+$B$7)/(1+G$162+$D$9/10000))+$B$7</f>
        <v>105.78139400000001</v>
      </c>
    </row>
    <row r="178" spans="2:13" x14ac:dyDescent="0.35">
      <c r="B178" s="5"/>
      <c r="C178" s="5"/>
      <c r="D178" s="13">
        <f>(C179+$B$4)*EXP(10*$D$13)</f>
        <v>5.5024593052794224E-2</v>
      </c>
      <c r="E178" s="13">
        <f>(D178+$B$4)*EXP(10*$E$13)</f>
        <v>7.290174909870295E-2</v>
      </c>
      <c r="F178" s="13">
        <f>(E179+$B$4)*EXP(10*$F$13)</f>
        <v>9.4781942093854266E-2</v>
      </c>
      <c r="G178" s="13">
        <f>(F179+$B$4)*EXP(10*$G$13)</f>
        <v>0.12359537369219846</v>
      </c>
      <c r="H178" s="22"/>
      <c r="J178" s="2">
        <f>MIN($B$8,AVERAGE(K175:K177)/(1+D178+$D$9/10000))+$B$7</f>
        <v>100.10263387523904</v>
      </c>
      <c r="K178" s="21"/>
      <c r="L178" s="21"/>
      <c r="M178" s="21"/>
    </row>
    <row r="179" spans="2:13" x14ac:dyDescent="0.35">
      <c r="B179" s="5"/>
      <c r="C179" s="23">
        <f>(B180+$B$4)*EXP(10*$C$13)</f>
        <v>4.2499601394572713E-2</v>
      </c>
      <c r="D179" s="5"/>
      <c r="E179" s="10">
        <f>D178*EXP(10*$E$13)</f>
        <v>7.0344896162244139E-2</v>
      </c>
      <c r="F179" s="10">
        <f>E179*EXP(10*$F$13)</f>
        <v>9.2161662098392202E-2</v>
      </c>
      <c r="G179" s="10">
        <f>F179*EXP(10*$G$13)</f>
        <v>0.12097019968957624</v>
      </c>
      <c r="H179" s="22"/>
      <c r="I179" s="2">
        <f>MIN($B$8,AVERAGE(J178:J178)/(1+C179+$D$9/10000))+$B$7</f>
        <v>101.02174786573514</v>
      </c>
      <c r="J179" s="21"/>
      <c r="K179" s="21"/>
      <c r="L179" s="2">
        <f>MIN($B$8,AVERAGE(M172:M174)/(1+F179+$D$9/10000))+$B$7</f>
        <v>101.85506978587775</v>
      </c>
      <c r="M179" s="2">
        <f>MIN($B$8,(100+$B$7)/(1+G$162+$D$9/10000))+$B$7</f>
        <v>105.78139400000001</v>
      </c>
    </row>
    <row r="180" spans="2:13" x14ac:dyDescent="0.35">
      <c r="B180" s="10">
        <f>B162</f>
        <v>3.1619111399999997E-2</v>
      </c>
      <c r="C180" s="19"/>
      <c r="D180" s="5"/>
      <c r="E180" s="5"/>
      <c r="F180" s="5"/>
      <c r="G180" s="5"/>
      <c r="H180" s="3" t="e">
        <f>AVERAGE(I180:I181)/(1+B180+$G$5/10000)</f>
        <v>#VALUE!</v>
      </c>
    </row>
    <row r="181" spans="2:13" x14ac:dyDescent="0.35">
      <c r="B181" s="5"/>
      <c r="C181" s="23">
        <f>(B180-$B$4)*EXP(10*$C$13)</f>
        <v>3.7443001190133912E-2</v>
      </c>
      <c r="D181" s="5"/>
      <c r="E181" s="10">
        <f>D182*EXP(10*$E$13)</f>
        <v>5.6028237563097515E-2</v>
      </c>
      <c r="F181" s="10">
        <f>E181*EXP(10*$F$13)</f>
        <v>7.3404835033790292E-2</v>
      </c>
      <c r="G181" s="10">
        <f>F181*EXP(10*$G$13)</f>
        <v>9.6350232298739388E-2</v>
      </c>
      <c r="H181" s="22"/>
      <c r="I181" s="2">
        <f>MIN($B$8,AVERAGE(J182:J182)/(1+C181+$D$9/10000))+$B$7</f>
        <v>104.59263421610795</v>
      </c>
      <c r="J181" s="21"/>
      <c r="K181" s="21"/>
      <c r="L181" s="2">
        <f>MIN($B$8,AVERAGE(M174:M176)/(1+F181+$D$9/10000))+$B$7</f>
        <v>103.54752889823722</v>
      </c>
      <c r="M181" s="2">
        <f>MIN($B$8,(100+$B$7)/(1+G$162+$D$9/10000))+$B$7</f>
        <v>105.78139400000001</v>
      </c>
    </row>
    <row r="182" spans="2:13" x14ac:dyDescent="0.35">
      <c r="B182" s="5"/>
      <c r="C182" s="5"/>
      <c r="D182" s="24">
        <f>(C181-$B$4)*EXP(10*$D$13)</f>
        <v>4.3825936771080286E-2</v>
      </c>
      <c r="E182" s="23">
        <f>(D182-$B$4)*EXP(10*$E$13)</f>
        <v>5.3471384626638696E-2</v>
      </c>
      <c r="F182" s="23">
        <f>(E181-$B$4)*EXP(10*$E$13)</f>
        <v>6.9071128932450196E-2</v>
      </c>
      <c r="G182" s="23">
        <f>(F181-$B$4)*EXP(10*$G$13)</f>
        <v>9.3725058296117172E-2</v>
      </c>
      <c r="H182" s="22"/>
      <c r="J182" s="2">
        <f>MIN($B$8,AVERAGE(K183:K185)/(1+D183+$D$9/10000))+$B$7</f>
        <v>103.32168133759025</v>
      </c>
      <c r="K182" s="21"/>
      <c r="L182" s="21"/>
      <c r="M182" s="21"/>
    </row>
    <row r="183" spans="2:13" x14ac:dyDescent="0.35">
      <c r="B183" s="5"/>
      <c r="C183" s="5"/>
      <c r="D183" s="10">
        <f>C181*EXP(10*$D$13)</f>
        <v>4.6298974341232778E-2</v>
      </c>
      <c r="E183" s="23">
        <f>(D183-$B$4)*EXP(10*$E$13)</f>
        <v>5.6632981313247385E-2</v>
      </c>
      <c r="F183" s="23">
        <f>(E182-$B$4)*EXP(10*$E$13)</f>
        <v>6.5802380463111154E-2</v>
      </c>
      <c r="G183" s="23">
        <f>(F182-$B$4)*EXP(10*$G$13)</f>
        <v>8.8036691999995517E-2</v>
      </c>
      <c r="H183" s="22"/>
      <c r="K183" s="2">
        <f>MIN($B$8,AVERAGE(L181:L184)/(1+E181+$D$9/10000))+$B$7</f>
        <v>103.19981892926042</v>
      </c>
      <c r="L183" s="21"/>
      <c r="M183" s="2">
        <f>MIN($B$8,(100+$B$7)/(1+G$162+$D$9/10000))+$B$7</f>
        <v>105.78139400000001</v>
      </c>
    </row>
    <row r="184" spans="2:13" x14ac:dyDescent="0.35">
      <c r="B184" s="5"/>
      <c r="C184" s="5"/>
      <c r="D184" s="5"/>
      <c r="E184" s="10">
        <f>D183*EXP(10*$E$13)</f>
        <v>5.9189834249706204E-2</v>
      </c>
      <c r="F184" s="10">
        <f>E182*EXP(10*$F$13)</f>
        <v>7.005499973341954E-2</v>
      </c>
      <c r="G184" s="10">
        <f>F182*EXP(10*$G$13)</f>
        <v>9.0661866002617733E-2</v>
      </c>
      <c r="H184" s="22"/>
      <c r="K184" s="21"/>
      <c r="L184" s="2">
        <f>MIN($B$8,AVERAGE(M177:M179)/(1+F184+$D$9/10000))+$B$7</f>
        <v>103.85603452752719</v>
      </c>
      <c r="M184" s="21"/>
    </row>
    <row r="185" spans="2:13" x14ac:dyDescent="0.35">
      <c r="B185" s="5"/>
      <c r="C185" s="5"/>
      <c r="D185" s="5"/>
      <c r="E185" s="5"/>
      <c r="F185" s="23">
        <f>(E183-$B$4)*EXP(10*$E$13)</f>
        <v>6.9844249349138091E-2</v>
      </c>
      <c r="G185" s="23">
        <f>(F183-$B$4)*EXP(10*$G$13)</f>
        <v>8.3746175248585505E-2</v>
      </c>
      <c r="H185" s="20"/>
      <c r="I185" s="21"/>
      <c r="J185" s="21"/>
      <c r="K185" s="2">
        <f>MIN($B$8,AVERAGE(L186:L188)/(1+E184+$D$9/10000))+$B$7</f>
        <v>102.54792974879199</v>
      </c>
      <c r="L185" s="21"/>
      <c r="M185" s="2">
        <f>MIN($B$8,(100+$B$7)/(1+G$162+$D$9/10000))+$B$7</f>
        <v>105.78139400000001</v>
      </c>
    </row>
    <row r="186" spans="2:13" x14ac:dyDescent="0.35">
      <c r="B186" s="5"/>
      <c r="C186" s="5"/>
      <c r="D186" s="5"/>
      <c r="E186" s="5"/>
      <c r="F186" s="10">
        <f>E183*EXP(10*$F$13)</f>
        <v>7.4197134009239496E-2</v>
      </c>
      <c r="G186" s="10">
        <f>F183*EXP(10*$G$13)</f>
        <v>8.6371349251207721E-2</v>
      </c>
      <c r="I186" s="21"/>
      <c r="J186" s="21"/>
      <c r="K186" s="21"/>
      <c r="L186" s="2">
        <f>MIN($B$8,AVERAGE(M179:M181)/(1+F186+$D$9/10000))+$B$7</f>
        <v>103.4748428858591</v>
      </c>
      <c r="M186" s="21"/>
    </row>
    <row r="187" spans="2:13" x14ac:dyDescent="0.35">
      <c r="B187" s="5"/>
      <c r="C187" s="5"/>
      <c r="D187" s="5"/>
      <c r="E187" s="5"/>
      <c r="F187" s="23">
        <f>(E184-$B$4)*EXP(10*$E$13)</f>
        <v>7.3112997818477132E-2</v>
      </c>
      <c r="G187" s="23">
        <f>(F184-$B$4)*EXP(10*$G$13)</f>
        <v>8.9328108024317426E-2</v>
      </c>
      <c r="J187" s="21"/>
      <c r="K187" s="21"/>
      <c r="L187" s="21"/>
      <c r="M187" s="2">
        <f>MIN($B$8,(100+$B$7)/(1+G$162+$D$9/10000))+$B$7</f>
        <v>105.78139400000001</v>
      </c>
    </row>
    <row r="188" spans="2:13" x14ac:dyDescent="0.35">
      <c r="B188" s="5"/>
      <c r="C188" s="5"/>
      <c r="D188" s="5"/>
      <c r="E188" s="5"/>
      <c r="F188" s="10">
        <f>E184*EXP(10*$F$13)</f>
        <v>7.7546969309610234E-2</v>
      </c>
      <c r="G188" s="10">
        <f>F184*EXP(10*$G$13)</f>
        <v>9.1953282026939642E-2</v>
      </c>
      <c r="K188" s="21"/>
      <c r="L188" s="2">
        <f>MIN($B$8,AVERAGE(M181:M183)/(1+F188+$D$9/10000))+$B$7</f>
        <v>103.16870819819081</v>
      </c>
      <c r="M188" s="21"/>
    </row>
    <row r="189" spans="2:13" x14ac:dyDescent="0.35">
      <c r="B189" s="5"/>
      <c r="C189" s="5"/>
      <c r="D189" s="5"/>
      <c r="E189" s="5"/>
      <c r="F189" s="5"/>
      <c r="G189" s="23">
        <f>(F185-$B$4)*EXP(10*$G$13)</f>
        <v>8.9051479809388268E-2</v>
      </c>
      <c r="L189" s="21"/>
      <c r="M189" s="2">
        <f>MIN($B$8,(100+$B$7)/(1+G$162+$D$9/10000))+$B$7</f>
        <v>105.78139400000001</v>
      </c>
    </row>
    <row r="190" spans="2:13" x14ac:dyDescent="0.35">
      <c r="B190" s="5"/>
      <c r="C190" s="5"/>
      <c r="D190" s="5"/>
      <c r="E190" s="5"/>
      <c r="F190" s="5"/>
      <c r="G190" s="10">
        <f>F185*EXP(10*$G$13)</f>
        <v>9.1676653812010497E-2</v>
      </c>
      <c r="M190" s="21"/>
    </row>
    <row r="191" spans="2:13" x14ac:dyDescent="0.35">
      <c r="B191" s="5"/>
      <c r="C191" s="5"/>
      <c r="D191" s="5"/>
      <c r="E191" s="5"/>
      <c r="F191" s="5"/>
      <c r="G191" s="23">
        <f>(F186-0.001)*EXP(10*$G$13)</f>
        <v>9.6077606633755003E-2</v>
      </c>
      <c r="M191" s="2">
        <f>MIN($B$8,(100+$B$7)/(1+G$162+$D$9/10000))+$B$7</f>
        <v>105.78139400000001</v>
      </c>
    </row>
    <row r="192" spans="2:13" x14ac:dyDescent="0.35">
      <c r="B192" s="5"/>
      <c r="C192" s="5"/>
      <c r="D192" s="5"/>
      <c r="E192" s="5"/>
      <c r="F192" s="5"/>
      <c r="G192" s="10">
        <f>F186*EXP(10*$G$13)</f>
        <v>9.7390193635066125E-2</v>
      </c>
      <c r="H192" s="22"/>
      <c r="M192" s="21"/>
    </row>
    <row r="193" spans="2:13" x14ac:dyDescent="0.35">
      <c r="B193" s="5"/>
      <c r="C193" s="5"/>
      <c r="D193" s="5"/>
      <c r="E193" s="5"/>
      <c r="F193" s="5"/>
      <c r="G193" s="23">
        <f>(F187-$B$4)*EXP(10*$G$13)</f>
        <v>9.3341996560798279E-2</v>
      </c>
      <c r="H193" s="22"/>
      <c r="M193" s="2">
        <f>MIN($B$8,(100+$B$7)/(1+G$162+$D$9/10000))+$B$7</f>
        <v>105.78139400000001</v>
      </c>
    </row>
    <row r="194" spans="2:13" x14ac:dyDescent="0.35">
      <c r="B194" s="5"/>
      <c r="C194" s="5"/>
      <c r="D194" s="5"/>
      <c r="E194" s="5"/>
      <c r="F194" s="5"/>
      <c r="G194" s="10">
        <f>F187*EXP(10*$G$13)</f>
        <v>9.5967170563420495E-2</v>
      </c>
      <c r="H194" s="22"/>
      <c r="M194" s="21"/>
    </row>
    <row r="195" spans="2:13" x14ac:dyDescent="0.35">
      <c r="B195" s="5"/>
      <c r="C195" s="5"/>
      <c r="D195" s="5"/>
      <c r="E195" s="5"/>
      <c r="F195" s="5"/>
      <c r="G195" s="23">
        <f>(F188-$B$4)*EXP(10*$G$13)</f>
        <v>9.9161969904243627E-2</v>
      </c>
      <c r="H195" s="22"/>
      <c r="M195" s="2">
        <f>MIN($B$8,(100+$B$7)/(1+G$162+$D$9/10000))+$B$7</f>
        <v>105.78139400000001</v>
      </c>
    </row>
    <row r="196" spans="2:13" x14ac:dyDescent="0.35">
      <c r="B196" s="5"/>
      <c r="C196" s="5"/>
      <c r="D196" s="5"/>
      <c r="E196" s="5"/>
      <c r="F196" s="5"/>
      <c r="G196" s="10">
        <f>F188*EXP(10*$G$13)</f>
        <v>0.10178714390686584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HJM_exp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2025-10-17T23:24:46Z</dcterms:modified>
</cp:coreProperties>
</file>