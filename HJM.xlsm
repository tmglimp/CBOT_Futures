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1750" documentId="8_{458E77EB-200A-4C61-ABC8-6FF3C8B94725}" xr6:coauthVersionLast="47" xr6:coauthVersionMax="47" xr10:uidLastSave="{32BED39E-6851-4B80-9D75-AE43BFC9670F}"/>
  <bookViews>
    <workbookView xWindow="-110" yWindow="-110" windowWidth="22780" windowHeight="14540" xr2:uid="{00000000-000D-0000-FFFF-FFFF00000000}"/>
  </bookViews>
  <sheets>
    <sheet name="HJM_exp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" l="1"/>
  <c r="B164" i="4" s="1"/>
  <c r="B182" i="4" s="1"/>
  <c r="C181" i="4" s="1"/>
  <c r="C14" i="4"/>
  <c r="C164" i="4" s="1"/>
  <c r="C165" i="4" s="1"/>
  <c r="D14" i="4"/>
  <c r="D126" i="4" s="1"/>
  <c r="D127" i="4" s="1"/>
  <c r="E14" i="4"/>
  <c r="E51" i="4" s="1"/>
  <c r="F14" i="4"/>
  <c r="G14" i="4"/>
  <c r="G88" i="4" s="1"/>
  <c r="G89" i="4" s="1"/>
  <c r="F51" i="4"/>
  <c r="B8" i="4"/>
  <c r="M23" i="4" s="1"/>
  <c r="G162" i="4"/>
  <c r="F162" i="4"/>
  <c r="E162" i="4"/>
  <c r="D162" i="4"/>
  <c r="C162" i="4"/>
  <c r="B162" i="4"/>
  <c r="B124" i="4"/>
  <c r="C124" i="4"/>
  <c r="D124" i="4"/>
  <c r="E124" i="4"/>
  <c r="F124" i="4"/>
  <c r="G124" i="4"/>
  <c r="M47" i="4" l="1"/>
  <c r="M45" i="4"/>
  <c r="M31" i="4"/>
  <c r="M43" i="4"/>
  <c r="M21" i="4"/>
  <c r="M41" i="4"/>
  <c r="M29" i="4"/>
  <c r="M19" i="4"/>
  <c r="M39" i="4"/>
  <c r="M27" i="4"/>
  <c r="M17" i="4"/>
  <c r="M37" i="4"/>
  <c r="M35" i="4"/>
  <c r="M33" i="4"/>
  <c r="M25" i="4"/>
  <c r="D179" i="4"/>
  <c r="D180" i="4"/>
  <c r="C183" i="4"/>
  <c r="M101" i="4"/>
  <c r="B165" i="4"/>
  <c r="B51" i="4"/>
  <c r="B69" i="4" s="1"/>
  <c r="C68" i="4" s="1"/>
  <c r="D67" i="4" s="1"/>
  <c r="I7" i="4"/>
  <c r="B126" i="4"/>
  <c r="B88" i="4"/>
  <c r="B15" i="4"/>
  <c r="G51" i="4"/>
  <c r="G52" i="4" s="1"/>
  <c r="M97" i="4"/>
  <c r="M113" i="4"/>
  <c r="G126" i="4"/>
  <c r="G164" i="4"/>
  <c r="G165" i="4" s="1"/>
  <c r="M121" i="4"/>
  <c r="M91" i="4"/>
  <c r="G15" i="4"/>
  <c r="M111" i="4"/>
  <c r="D15" i="4"/>
  <c r="D51" i="4"/>
  <c r="C51" i="4"/>
  <c r="C52" i="4" s="1"/>
  <c r="C15" i="4"/>
  <c r="C88" i="4"/>
  <c r="C89" i="4" s="1"/>
  <c r="F15" i="4"/>
  <c r="F164" i="4"/>
  <c r="F165" i="4" s="1"/>
  <c r="E15" i="4"/>
  <c r="E164" i="4"/>
  <c r="E165" i="4" s="1"/>
  <c r="E88" i="4"/>
  <c r="E89" i="4" s="1"/>
  <c r="D164" i="4"/>
  <c r="D165" i="4" s="1"/>
  <c r="F88" i="4"/>
  <c r="F89" i="4" s="1"/>
  <c r="D88" i="4"/>
  <c r="D89" i="4" s="1"/>
  <c r="C126" i="4"/>
  <c r="C127" i="4" s="1"/>
  <c r="F126" i="4"/>
  <c r="F127" i="4" s="1"/>
  <c r="E126" i="4"/>
  <c r="E127" i="4" s="1"/>
  <c r="B32" i="4"/>
  <c r="E52" i="4"/>
  <c r="F52" i="4"/>
  <c r="C70" i="4" l="1"/>
  <c r="C31" i="4"/>
  <c r="C33" i="4"/>
  <c r="B89" i="4"/>
  <c r="B106" i="4"/>
  <c r="B127" i="4"/>
  <c r="B144" i="4"/>
  <c r="D66" i="4"/>
  <c r="E66" i="4" s="1"/>
  <c r="E179" i="4"/>
  <c r="E178" i="4"/>
  <c r="D184" i="4"/>
  <c r="D185" i="4"/>
  <c r="E181" i="4"/>
  <c r="E180" i="4"/>
  <c r="D71" i="4"/>
  <c r="D72" i="4"/>
  <c r="E68" i="4"/>
  <c r="E67" i="4"/>
  <c r="M93" i="4"/>
  <c r="M115" i="4"/>
  <c r="M95" i="4"/>
  <c r="M119" i="4"/>
  <c r="M107" i="4"/>
  <c r="M103" i="4"/>
  <c r="M99" i="4"/>
  <c r="M117" i="4"/>
  <c r="M109" i="4"/>
  <c r="M105" i="4"/>
  <c r="N7" i="4"/>
  <c r="B52" i="4"/>
  <c r="M7" i="4"/>
  <c r="G127" i="4"/>
  <c r="M149" i="4"/>
  <c r="M133" i="4"/>
  <c r="M147" i="4"/>
  <c r="M131" i="4"/>
  <c r="M145" i="4"/>
  <c r="M129" i="4"/>
  <c r="M159" i="4"/>
  <c r="M143" i="4"/>
  <c r="M157" i="4"/>
  <c r="M141" i="4"/>
  <c r="M155" i="4"/>
  <c r="M139" i="4"/>
  <c r="M153" i="4"/>
  <c r="M137" i="4"/>
  <c r="M151" i="4"/>
  <c r="M135" i="4"/>
  <c r="M187" i="4"/>
  <c r="M171" i="4"/>
  <c r="M185" i="4"/>
  <c r="M169" i="4"/>
  <c r="M183" i="4"/>
  <c r="M167" i="4"/>
  <c r="M197" i="4"/>
  <c r="M181" i="4"/>
  <c r="M195" i="4"/>
  <c r="M179" i="4"/>
  <c r="M193" i="4"/>
  <c r="M177" i="4"/>
  <c r="M191" i="4"/>
  <c r="M175" i="4"/>
  <c r="M189" i="4"/>
  <c r="M173" i="4"/>
  <c r="M74" i="4"/>
  <c r="M58" i="4"/>
  <c r="M72" i="4"/>
  <c r="M56" i="4"/>
  <c r="M70" i="4"/>
  <c r="M54" i="4"/>
  <c r="M84" i="4"/>
  <c r="M68" i="4"/>
  <c r="M82" i="4"/>
  <c r="M66" i="4"/>
  <c r="M80" i="4"/>
  <c r="M64" i="4"/>
  <c r="M78" i="4"/>
  <c r="M62" i="4"/>
  <c r="M76" i="4"/>
  <c r="M60" i="4"/>
  <c r="L7" i="4"/>
  <c r="K7" i="4"/>
  <c r="J7" i="4"/>
  <c r="D52" i="4"/>
  <c r="E65" i="4" l="1"/>
  <c r="C143" i="4"/>
  <c r="C145" i="4"/>
  <c r="C105" i="4"/>
  <c r="C107" i="4"/>
  <c r="D35" i="4"/>
  <c r="D34" i="4"/>
  <c r="D30" i="4"/>
  <c r="D29" i="4"/>
  <c r="F177" i="4"/>
  <c r="F176" i="4"/>
  <c r="F178" i="4"/>
  <c r="L178" i="4" s="1"/>
  <c r="F179" i="4"/>
  <c r="E186" i="4"/>
  <c r="E185" i="4"/>
  <c r="F181" i="4"/>
  <c r="L181" i="4" s="1"/>
  <c r="F180" i="4"/>
  <c r="E184" i="4"/>
  <c r="E183" i="4"/>
  <c r="F174" i="4"/>
  <c r="F175" i="4"/>
  <c r="E73" i="4"/>
  <c r="E72" i="4"/>
  <c r="F66" i="4"/>
  <c r="F65" i="4"/>
  <c r="F68" i="4"/>
  <c r="F67" i="4"/>
  <c r="F61" i="4"/>
  <c r="F62" i="4"/>
  <c r="F64" i="4"/>
  <c r="F63" i="4"/>
  <c r="E71" i="4"/>
  <c r="E70" i="4"/>
  <c r="E30" i="4" l="1"/>
  <c r="F29" i="4" s="1"/>
  <c r="E31" i="4"/>
  <c r="E34" i="4"/>
  <c r="E33" i="4"/>
  <c r="E36" i="4"/>
  <c r="E35" i="4"/>
  <c r="D104" i="4"/>
  <c r="D103" i="4"/>
  <c r="D147" i="4"/>
  <c r="D146" i="4"/>
  <c r="D109" i="4"/>
  <c r="D108" i="4"/>
  <c r="D141" i="4"/>
  <c r="D142" i="4"/>
  <c r="E29" i="4"/>
  <c r="E28" i="4"/>
  <c r="F187" i="4"/>
  <c r="F188" i="4"/>
  <c r="F190" i="4"/>
  <c r="F189" i="4"/>
  <c r="G176" i="4"/>
  <c r="G177" i="4"/>
  <c r="F184" i="4"/>
  <c r="F183" i="4"/>
  <c r="F185" i="4"/>
  <c r="F186" i="4"/>
  <c r="G172" i="4"/>
  <c r="G173" i="4"/>
  <c r="G179" i="4"/>
  <c r="G178" i="4"/>
  <c r="G181" i="4"/>
  <c r="G180" i="4"/>
  <c r="G168" i="4"/>
  <c r="G169" i="4"/>
  <c r="G166" i="4"/>
  <c r="G167" i="4"/>
  <c r="G175" i="4"/>
  <c r="G174" i="4"/>
  <c r="G170" i="4"/>
  <c r="G171" i="4"/>
  <c r="G56" i="4"/>
  <c r="G55" i="4"/>
  <c r="G66" i="4"/>
  <c r="G65" i="4"/>
  <c r="G62" i="4"/>
  <c r="G61" i="4"/>
  <c r="F75" i="4"/>
  <c r="F74" i="4"/>
  <c r="G54" i="4"/>
  <c r="G53" i="4"/>
  <c r="G68" i="4"/>
  <c r="G67" i="4"/>
  <c r="F71" i="4"/>
  <c r="F70" i="4"/>
  <c r="F73" i="4"/>
  <c r="F72" i="4"/>
  <c r="G63" i="4"/>
  <c r="G64" i="4"/>
  <c r="G58" i="4"/>
  <c r="G57" i="4"/>
  <c r="G59" i="4"/>
  <c r="G60" i="4"/>
  <c r="F77" i="4"/>
  <c r="F76" i="4"/>
  <c r="K179" i="4"/>
  <c r="F28" i="4" l="1"/>
  <c r="L28" i="4" s="1"/>
  <c r="F25" i="4"/>
  <c r="F24" i="4"/>
  <c r="E105" i="4"/>
  <c r="E104" i="4"/>
  <c r="E143" i="4"/>
  <c r="E142" i="4"/>
  <c r="E140" i="4"/>
  <c r="E141" i="4"/>
  <c r="F26" i="4"/>
  <c r="F27" i="4"/>
  <c r="F38" i="4"/>
  <c r="F37" i="4"/>
  <c r="F40" i="4"/>
  <c r="F39" i="4"/>
  <c r="E107" i="4"/>
  <c r="E108" i="4"/>
  <c r="F34" i="4"/>
  <c r="F33" i="4"/>
  <c r="E110" i="4"/>
  <c r="E109" i="4"/>
  <c r="F36" i="4"/>
  <c r="F35" i="4"/>
  <c r="E145" i="4"/>
  <c r="E146" i="4"/>
  <c r="F31" i="4"/>
  <c r="F30" i="4"/>
  <c r="G29" i="4" s="1"/>
  <c r="E102" i="4"/>
  <c r="E103" i="4"/>
  <c r="E148" i="4"/>
  <c r="E147" i="4"/>
  <c r="G26" i="4"/>
  <c r="G27" i="4"/>
  <c r="G188" i="4"/>
  <c r="G187" i="4"/>
  <c r="G195" i="4"/>
  <c r="G196" i="4"/>
  <c r="G192" i="4"/>
  <c r="G191" i="4"/>
  <c r="G183" i="4"/>
  <c r="G184" i="4"/>
  <c r="G186" i="4"/>
  <c r="G185" i="4"/>
  <c r="G198" i="4"/>
  <c r="G197" i="4"/>
  <c r="L190" i="4"/>
  <c r="G190" i="4"/>
  <c r="G189" i="4"/>
  <c r="G194" i="4"/>
  <c r="G193" i="4"/>
  <c r="G83" i="4"/>
  <c r="G82" i="4"/>
  <c r="G74" i="4"/>
  <c r="G75" i="4"/>
  <c r="G85" i="4"/>
  <c r="G84" i="4"/>
  <c r="G81" i="4"/>
  <c r="G80" i="4"/>
  <c r="G78" i="4"/>
  <c r="G79" i="4"/>
  <c r="G77" i="4"/>
  <c r="G76" i="4"/>
  <c r="G71" i="4"/>
  <c r="G70" i="4"/>
  <c r="G73" i="4"/>
  <c r="G72" i="4"/>
  <c r="G24" i="4"/>
  <c r="L174" i="4"/>
  <c r="L176" i="4"/>
  <c r="L188" i="4"/>
  <c r="L186" i="4"/>
  <c r="L183" i="4"/>
  <c r="G25" i="4" l="1"/>
  <c r="G28" i="4"/>
  <c r="F146" i="4"/>
  <c r="F145" i="4"/>
  <c r="L145" i="4" s="1"/>
  <c r="F140" i="4"/>
  <c r="F141" i="4"/>
  <c r="G48" i="4"/>
  <c r="G47" i="4"/>
  <c r="L40" i="4"/>
  <c r="F108" i="4"/>
  <c r="F107" i="4"/>
  <c r="G38" i="4"/>
  <c r="G37" i="4"/>
  <c r="G40" i="4"/>
  <c r="G39" i="4"/>
  <c r="L36" i="4"/>
  <c r="K35" i="4" s="1"/>
  <c r="F101" i="4"/>
  <c r="F100" i="4"/>
  <c r="G42" i="4"/>
  <c r="G41" i="4"/>
  <c r="F102" i="4"/>
  <c r="F103" i="4"/>
  <c r="F99" i="4"/>
  <c r="F98" i="4"/>
  <c r="F114" i="4"/>
  <c r="F113" i="4"/>
  <c r="G23" i="4"/>
  <c r="G22" i="4"/>
  <c r="F136" i="4"/>
  <c r="F137" i="4"/>
  <c r="F150" i="4"/>
  <c r="F149" i="4"/>
  <c r="G46" i="4"/>
  <c r="G45" i="4"/>
  <c r="F151" i="4"/>
  <c r="F152" i="4"/>
  <c r="F142" i="4"/>
  <c r="F143" i="4"/>
  <c r="L143" i="4" s="1"/>
  <c r="F111" i="4"/>
  <c r="F112" i="4"/>
  <c r="L31" i="4"/>
  <c r="K29" i="4" s="1"/>
  <c r="G30" i="4"/>
  <c r="G31" i="4"/>
  <c r="G36" i="4"/>
  <c r="G35" i="4"/>
  <c r="G20" i="4"/>
  <c r="L26" i="4"/>
  <c r="G21" i="4"/>
  <c r="L24" i="4"/>
  <c r="K27" i="4" s="1"/>
  <c r="J30" i="4" s="1"/>
  <c r="I31" i="4" s="1"/>
  <c r="G16" i="4"/>
  <c r="G17" i="4"/>
  <c r="G44" i="4"/>
  <c r="G43" i="4"/>
  <c r="L38" i="4"/>
  <c r="F105" i="4"/>
  <c r="F104" i="4"/>
  <c r="G34" i="4"/>
  <c r="G33" i="4"/>
  <c r="L33" i="4"/>
  <c r="F148" i="4"/>
  <c r="F147" i="4"/>
  <c r="F109" i="4"/>
  <c r="F110" i="4"/>
  <c r="F139" i="4"/>
  <c r="F138" i="4"/>
  <c r="G18" i="4"/>
  <c r="G19" i="4"/>
  <c r="K187" i="4"/>
  <c r="L136" i="4"/>
  <c r="L152" i="4"/>
  <c r="L148" i="4"/>
  <c r="K177" i="4"/>
  <c r="J180" i="4" s="1"/>
  <c r="I181" i="4" s="1"/>
  <c r="K185" i="4"/>
  <c r="J184" i="4" l="1"/>
  <c r="I183" i="4" s="1"/>
  <c r="H182" i="4" s="1"/>
  <c r="G120" i="4"/>
  <c r="G119" i="4"/>
  <c r="G110" i="4"/>
  <c r="G109" i="4"/>
  <c r="G132" i="4"/>
  <c r="G133" i="4"/>
  <c r="L114" i="4"/>
  <c r="G122" i="4"/>
  <c r="G121" i="4"/>
  <c r="G96" i="4"/>
  <c r="G97" i="4"/>
  <c r="G153" i="4"/>
  <c r="G154" i="4"/>
  <c r="G91" i="4"/>
  <c r="L98" i="4"/>
  <c r="K101" i="4" s="1"/>
  <c r="G90" i="4"/>
  <c r="G95" i="4"/>
  <c r="L100" i="4"/>
  <c r="G94" i="4"/>
  <c r="G104" i="4"/>
  <c r="L105" i="4"/>
  <c r="G105" i="4"/>
  <c r="G116" i="4"/>
  <c r="G115" i="4"/>
  <c r="G155" i="4"/>
  <c r="G156" i="4"/>
  <c r="G92" i="4"/>
  <c r="G93" i="4"/>
  <c r="L138" i="4"/>
  <c r="G112" i="4"/>
  <c r="G111" i="4"/>
  <c r="K37" i="4"/>
  <c r="J34" i="4" s="1"/>
  <c r="I33" i="4" s="1"/>
  <c r="H32" i="4" s="1"/>
  <c r="G143" i="4"/>
  <c r="G142" i="4"/>
  <c r="G131" i="4"/>
  <c r="G130" i="4"/>
  <c r="G100" i="4"/>
  <c r="G101" i="4"/>
  <c r="G150" i="4"/>
  <c r="G149" i="4"/>
  <c r="G128" i="4"/>
  <c r="G129" i="4"/>
  <c r="G152" i="4"/>
  <c r="G151" i="4"/>
  <c r="G160" i="4"/>
  <c r="G159" i="4"/>
  <c r="G145" i="4"/>
  <c r="G146" i="4"/>
  <c r="G134" i="4"/>
  <c r="G135" i="4"/>
  <c r="G102" i="4"/>
  <c r="G103" i="4"/>
  <c r="L112" i="4"/>
  <c r="G118" i="4"/>
  <c r="G117" i="4"/>
  <c r="G113" i="4"/>
  <c r="G114" i="4"/>
  <c r="L110" i="4"/>
  <c r="G138" i="4"/>
  <c r="G139" i="4"/>
  <c r="G141" i="4"/>
  <c r="G140" i="4"/>
  <c r="G99" i="4"/>
  <c r="G98" i="4"/>
  <c r="L102" i="4"/>
  <c r="G137" i="4"/>
  <c r="G136" i="4"/>
  <c r="L150" i="4"/>
  <c r="L140" i="4"/>
  <c r="K141" i="4" s="1"/>
  <c r="G158" i="4"/>
  <c r="G157" i="4"/>
  <c r="G107" i="4"/>
  <c r="G108" i="4"/>
  <c r="L107" i="4"/>
  <c r="K109" i="4" s="1"/>
  <c r="G148" i="4"/>
  <c r="G147" i="4"/>
  <c r="L68" i="4"/>
  <c r="L61" i="4"/>
  <c r="L75" i="4"/>
  <c r="L63" i="4"/>
  <c r="L70" i="4"/>
  <c r="L73" i="4"/>
  <c r="L65" i="4"/>
  <c r="L77" i="4"/>
  <c r="K139" i="4"/>
  <c r="K149" i="4"/>
  <c r="K147" i="4"/>
  <c r="K111" i="4" l="1"/>
  <c r="J108" i="4" s="1"/>
  <c r="I107" i="4" s="1"/>
  <c r="H106" i="4" s="1"/>
  <c r="K103" i="4"/>
  <c r="J104" i="4" s="1"/>
  <c r="I105" i="4" s="1"/>
  <c r="K66" i="4"/>
  <c r="J142" i="4"/>
  <c r="I143" i="4" s="1"/>
  <c r="K72" i="4"/>
  <c r="K64" i="4"/>
  <c r="K74" i="4"/>
  <c r="J146" i="4"/>
  <c r="I145" i="4" s="1"/>
  <c r="H144" i="4" s="1"/>
  <c r="J67" i="4" l="1"/>
  <c r="I68" i="4" s="1"/>
  <c r="J71" i="4"/>
  <c r="I70" i="4" s="1"/>
  <c r="H69" i="4" s="1"/>
  <c r="N8" i="4" l="1"/>
  <c r="N9" i="4" s="1"/>
  <c r="L6" i="4"/>
  <c r="M6" i="4"/>
  <c r="N6" i="4"/>
  <c r="I8" i="4"/>
  <c r="L8" i="4"/>
  <c r="J8" i="4"/>
  <c r="J6" i="4"/>
  <c r="K8" i="4"/>
  <c r="K6" i="4"/>
  <c r="M8" i="4"/>
  <c r="I6" i="4"/>
  <c r="M9" i="4" l="1"/>
  <c r="L9" i="4" s="1"/>
  <c r="K9" i="4" s="1"/>
  <c r="J9" i="4" s="1"/>
  <c r="I9" i="4" s="1"/>
  <c r="H6" i="4"/>
  <c r="H31" i="4" s="1"/>
  <c r="G6" i="4" l="1"/>
</calcChain>
</file>

<file path=xl/sharedStrings.xml><?xml version="1.0" encoding="utf-8"?>
<sst xmlns="http://schemas.openxmlformats.org/spreadsheetml/2006/main" count="45" uniqueCount="30">
  <si>
    <t>Price</t>
  </si>
  <si>
    <t>PV</t>
  </si>
  <si>
    <t>Fwds</t>
  </si>
  <si>
    <t>Cash Eq.</t>
  </si>
  <si>
    <t>Gross Basis</t>
  </si>
  <si>
    <t>DV10+</t>
  </si>
  <si>
    <t>DV10-</t>
  </si>
  <si>
    <t>Z(t)</t>
  </si>
  <si>
    <t>YR</t>
  </si>
  <si>
    <t>Threefy σ(t)</t>
  </si>
  <si>
    <t>Adj z(t)</t>
  </si>
  <si>
    <t>Threefy σ(t)+1%</t>
  </si>
  <si>
    <t>v(t)</t>
  </si>
  <si>
    <t>Fut Mkt. Price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</si>
  <si>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</si>
  <si>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</si>
  <si>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</si>
  <si>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</si>
  <si>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</si>
  <si>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</si>
  <si>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</si>
  <si>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Vega(d)</t>
  </si>
  <si>
    <t>Instantaneous σ</t>
  </si>
  <si>
    <t>Vega+1</t>
  </si>
  <si>
    <t>Vega-1</t>
  </si>
  <si>
    <t>Threefy σ(t)-1%</t>
  </si>
  <si>
    <t>Put Cost</t>
  </si>
  <si>
    <t>ZV BP</t>
  </si>
  <si>
    <t>HJM Instantaneous Forward Rate Curve</t>
  </si>
  <si>
    <t>by Mr. Thomas Madison Glimp, 9/30/2025. Use with attribution permitted. Commercial licenses available.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</si>
</sst>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%"/>
    <numFmt numFmtId="171" formatCode="0.0000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0" fontId="0" fillId="2" borderId="0" xfId="0" applyFill="1" applyAlignment="1">
      <alignment horizontal="left"/>
    </xf>
    <xf numFmtId="1" fontId="4" fillId="6" borderId="0" xfId="1" applyNumberFormat="1" applyFont="1" applyFill="1" applyBorder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2" fontId="4" fillId="7" borderId="0" xfId="0" applyNumberFormat="1" applyFont="1" applyFill="1" applyAlignment="1">
      <alignment horizontal="left"/>
    </xf>
    <xf numFmtId="165" fontId="8" fillId="7" borderId="0" xfId="0" applyNumberFormat="1" applyFont="1" applyFill="1"/>
    <xf numFmtId="166" fontId="3" fillId="7" borderId="0" xfId="0" applyNumberFormat="1" applyFont="1" applyFill="1"/>
    <xf numFmtId="0" fontId="4" fillId="6" borderId="2" xfId="0" applyFont="1" applyFill="1" applyBorder="1" applyAlignment="1">
      <alignment horizontal="left"/>
    </xf>
    <xf numFmtId="10" fontId="3" fillId="6" borderId="1" xfId="1" applyNumberFormat="1" applyFont="1" applyFill="1" applyBorder="1" applyAlignment="1">
      <alignment horizontal="left"/>
    </xf>
    <xf numFmtId="0" fontId="0" fillId="6" borderId="0" xfId="0" applyFill="1" applyAlignment="1">
      <alignment horizontal="left"/>
    </xf>
    <xf numFmtId="166" fontId="4" fillId="6" borderId="0" xfId="0" applyNumberFormat="1" applyFont="1" applyFill="1" applyAlignment="1">
      <alignment horizontal="left"/>
    </xf>
    <xf numFmtId="0" fontId="8" fillId="6" borderId="0" xfId="0" applyFont="1" applyFill="1" applyAlignment="1">
      <alignment horizontal="left"/>
    </xf>
    <xf numFmtId="10" fontId="8" fillId="6" borderId="0" xfId="0" applyNumberFormat="1" applyFont="1" applyFill="1" applyAlignment="1">
      <alignment horizontal="left"/>
    </xf>
    <xf numFmtId="167" fontId="4" fillId="4" borderId="4" xfId="1" applyNumberFormat="1" applyFont="1" applyFill="1" applyBorder="1" applyAlignment="1">
      <alignment horizontal="left"/>
    </xf>
    <xf numFmtId="10" fontId="3" fillId="4" borderId="1" xfId="1" applyNumberFormat="1" applyFont="1" applyFill="1" applyBorder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4" fillId="6" borderId="3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4" borderId="3" xfId="0" quotePrefix="1" applyFont="1" applyFill="1" applyBorder="1" applyAlignment="1">
      <alignment horizontal="left"/>
    </xf>
    <xf numFmtId="9" fontId="8" fillId="4" borderId="5" xfId="0" applyNumberFormat="1" applyFont="1" applyFill="1" applyBorder="1" applyAlignment="1">
      <alignment horizontal="left"/>
    </xf>
    <xf numFmtId="0" fontId="5" fillId="4" borderId="3" xfId="0" applyFont="1" applyFill="1" applyBorder="1" applyAlignment="1">
      <alignment horizontal="left"/>
    </xf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0" fontId="13" fillId="7" borderId="3" xfId="0" applyFont="1" applyFill="1" applyBorder="1" applyAlignment="1">
      <alignment horizontal="left"/>
    </xf>
    <xf numFmtId="0" fontId="14" fillId="7" borderId="0" xfId="0" applyFont="1" applyFill="1"/>
    <xf numFmtId="0" fontId="11" fillId="7" borderId="0" xfId="0" applyFont="1" applyFill="1"/>
    <xf numFmtId="2" fontId="9" fillId="7" borderId="0" xfId="0" applyNumberFormat="1" applyFont="1" applyFill="1"/>
    <xf numFmtId="44" fontId="3" fillId="7" borderId="0" xfId="2" applyFont="1" applyFill="1"/>
    <xf numFmtId="2" fontId="8" fillId="6" borderId="0" xfId="0" applyNumberFormat="1" applyFont="1" applyFill="1" applyAlignment="1">
      <alignment horizontal="left"/>
    </xf>
    <xf numFmtId="1" fontId="4" fillId="6" borderId="0" xfId="0" applyNumberFormat="1" applyFont="1" applyFill="1" applyAlignment="1">
      <alignment horizontal="left"/>
    </xf>
    <xf numFmtId="2" fontId="0" fillId="7" borderId="0" xfId="0" applyNumberFormat="1" applyFill="1"/>
    <xf numFmtId="171" fontId="7" fillId="2" borderId="0" xfId="0" applyNumberFormat="1" applyFont="1" applyFill="1" applyAlignment="1">
      <alignment horizontal="center"/>
    </xf>
    <xf numFmtId="0" fontId="15" fillId="0" borderId="0" xfId="0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N198"/>
  <sheetViews>
    <sheetView tabSelected="1" topLeftCell="A154" zoomScale="70" zoomScaleNormal="70" workbookViewId="0">
      <selection activeCell="A3" sqref="A3"/>
    </sheetView>
  </sheetViews>
  <sheetFormatPr defaultRowHeight="14.5" x14ac:dyDescent="0.35"/>
  <cols>
    <col min="1" max="1" width="14" customWidth="1"/>
    <col min="3" max="3" width="13.26953125" customWidth="1"/>
    <col min="4" max="4" width="10.90625" customWidth="1"/>
    <col min="5" max="5" width="10.1796875" customWidth="1"/>
    <col min="6" max="6" width="10.36328125" customWidth="1"/>
    <col min="7" max="7" width="9.6328125" customWidth="1"/>
    <col min="8" max="8" width="12.08984375" customWidth="1"/>
  </cols>
  <sheetData>
    <row r="1" spans="1:14" x14ac:dyDescent="0.35">
      <c r="A1" s="52" t="s">
        <v>28</v>
      </c>
    </row>
    <row r="2" spans="1:14" x14ac:dyDescent="0.35">
      <c r="A2" t="s">
        <v>29</v>
      </c>
    </row>
    <row r="4" spans="1:14" x14ac:dyDescent="0.35">
      <c r="A4" s="43" t="s">
        <v>22</v>
      </c>
      <c r="B4" s="36">
        <v>2.2000000000000001E-3</v>
      </c>
    </row>
    <row r="5" spans="1:14" x14ac:dyDescent="0.35">
      <c r="A5" s="44" t="s">
        <v>13</v>
      </c>
      <c r="B5" s="36">
        <v>103.578</v>
      </c>
      <c r="C5" s="45" t="s">
        <v>16</v>
      </c>
      <c r="D5" s="36"/>
      <c r="E5" s="45" t="s">
        <v>5</v>
      </c>
      <c r="F5" s="36"/>
      <c r="G5" s="26" t="s">
        <v>0</v>
      </c>
      <c r="H5" s="13" t="s">
        <v>0</v>
      </c>
      <c r="I5" s="13">
        <v>1</v>
      </c>
      <c r="J5" s="13">
        <v>2</v>
      </c>
      <c r="K5" s="13">
        <v>3</v>
      </c>
      <c r="L5" s="13">
        <v>4</v>
      </c>
      <c r="M5" s="13">
        <v>5</v>
      </c>
      <c r="N5" s="13">
        <v>6</v>
      </c>
    </row>
    <row r="6" spans="1:14" x14ac:dyDescent="0.35">
      <c r="A6" s="44" t="s">
        <v>14</v>
      </c>
      <c r="B6" s="36">
        <v>0.97299999999999998</v>
      </c>
      <c r="C6" s="45" t="s">
        <v>17</v>
      </c>
      <c r="D6" s="36"/>
      <c r="E6" s="45" t="s">
        <v>6</v>
      </c>
      <c r="F6" s="36"/>
      <c r="G6" s="27">
        <f>SUM(H6:M6)</f>
        <v>116.24630574213711</v>
      </c>
      <c r="H6" s="14">
        <f>SUM(I6:N6)</f>
        <v>94.824704729257519</v>
      </c>
      <c r="I6" s="15">
        <f>$B$7/(1+B$14+$D$8/10000)^I$5</f>
        <v>4.7620207284476441</v>
      </c>
      <c r="J6" s="15">
        <f>$B$7/(1+C$14+$D$8/10000)^J$5</f>
        <v>4.5138293873571183</v>
      </c>
      <c r="K6" s="15">
        <f>$B$7/(1+D$14+$D$8/10000)^K$5</f>
        <v>4.270457607922352</v>
      </c>
      <c r="L6" s="15">
        <f>$B$7/(1+E$14+$D$8/10000)^L$5</f>
        <v>4.0672141768387284</v>
      </c>
      <c r="M6" s="15">
        <f>$B$7/(1+F$14+$D$8/10000)^M$5</f>
        <v>3.8080791123137523</v>
      </c>
      <c r="N6" s="15">
        <f>(100+$B$12)/(1+$G$14+D8/10000)^N5</f>
        <v>73.403103716377927</v>
      </c>
    </row>
    <row r="7" spans="1:14" x14ac:dyDescent="0.35">
      <c r="A7" s="44" t="s">
        <v>15</v>
      </c>
      <c r="B7" s="36">
        <v>5</v>
      </c>
      <c r="C7" s="45" t="s">
        <v>4</v>
      </c>
      <c r="D7" s="36"/>
      <c r="E7" s="45" t="s">
        <v>23</v>
      </c>
      <c r="F7" s="36"/>
      <c r="G7" s="28" t="s">
        <v>2</v>
      </c>
      <c r="H7" s="15" t="s">
        <v>2</v>
      </c>
      <c r="I7" s="16">
        <f>B14</f>
        <v>4.997443E-2</v>
      </c>
      <c r="J7" s="16">
        <f>C15/B15-1</f>
        <v>-5.2118912378492088E-2</v>
      </c>
      <c r="K7" s="16">
        <f>D15/C15-1</f>
        <v>-5.3916920324111439E-2</v>
      </c>
      <c r="L7" s="16">
        <f>E15/D15-1</f>
        <v>-4.7592892786612828E-2</v>
      </c>
      <c r="M7" s="16">
        <f>F15/E15-1</f>
        <v>-6.3713159243163009E-2</v>
      </c>
      <c r="N7" s="16">
        <f>G15/F15-1</f>
        <v>-3.6700415848921919E-2</v>
      </c>
    </row>
    <row r="8" spans="1:14" x14ac:dyDescent="0.35">
      <c r="A8" s="44" t="s">
        <v>3</v>
      </c>
      <c r="B8" s="36">
        <f>B5*B6</f>
        <v>100.78139400000001</v>
      </c>
      <c r="C8" s="44" t="s">
        <v>27</v>
      </c>
      <c r="D8" s="50"/>
      <c r="E8" s="45" t="s">
        <v>24</v>
      </c>
      <c r="F8" s="36"/>
      <c r="G8" s="28" t="s">
        <v>1</v>
      </c>
      <c r="H8" s="15" t="s">
        <v>1</v>
      </c>
      <c r="I8" s="47">
        <f t="shared" ref="I8:N8" si="0">1/(1+I7+$D$8/10000)</f>
        <v>0.9524041456895288</v>
      </c>
      <c r="J8" s="16">
        <f t="shared" si="0"/>
        <v>1.0549846526733355</v>
      </c>
      <c r="K8" s="16">
        <f t="shared" si="0"/>
        <v>1.0569896254170219</v>
      </c>
      <c r="L8" s="16">
        <f t="shared" si="0"/>
        <v>1.0499711650891215</v>
      </c>
      <c r="M8" s="16">
        <f t="shared" si="0"/>
        <v>1.0680487607747016</v>
      </c>
      <c r="N8" s="16">
        <f t="shared" si="0"/>
        <v>1.0380986522290101</v>
      </c>
    </row>
    <row r="9" spans="1:14" x14ac:dyDescent="0.35">
      <c r="A9" s="44" t="s">
        <v>20</v>
      </c>
      <c r="B9" s="36">
        <v>-100</v>
      </c>
      <c r="C9" s="45" t="s">
        <v>26</v>
      </c>
      <c r="D9" s="50"/>
      <c r="E9" s="45" t="s">
        <v>21</v>
      </c>
      <c r="F9" s="36"/>
      <c r="G9" s="28" t="s">
        <v>0</v>
      </c>
      <c r="H9" s="15" t="s">
        <v>0</v>
      </c>
      <c r="I9" s="46" t="e">
        <f>MIN($B$8,J9*I8)+$A$7</f>
        <v>#VALUE!</v>
      </c>
      <c r="J9" s="46" t="e">
        <f>MIN($B$8,K9*J8)+$A$7</f>
        <v>#VALUE!</v>
      </c>
      <c r="K9" s="46" t="e">
        <f>MIN($B$8,L9*K8)+$A$7</f>
        <v>#VALUE!</v>
      </c>
      <c r="L9" s="46" t="e">
        <f>MIN($B$8,M9*L8)+$A$7</f>
        <v>#VALUE!</v>
      </c>
      <c r="M9" s="46" t="e">
        <f>MIN($B$8,N9*M8)+$A$7</f>
        <v>#VALUE!</v>
      </c>
      <c r="N9" s="46">
        <f>MIN($B$8,(100+B7)*N8)+B7</f>
        <v>105.78139400000001</v>
      </c>
    </row>
    <row r="10" spans="1:14" x14ac:dyDescent="0.35">
      <c r="G10" s="28"/>
      <c r="H10" s="25"/>
      <c r="I10" s="25"/>
      <c r="J10" s="25"/>
      <c r="K10" s="25"/>
    </row>
    <row r="11" spans="1:14" x14ac:dyDescent="0.35">
      <c r="A11" s="30" t="s">
        <v>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</row>
    <row r="12" spans="1:14" x14ac:dyDescent="0.35">
      <c r="A12" s="31" t="s">
        <v>7</v>
      </c>
      <c r="B12" s="8">
        <v>0.05</v>
      </c>
      <c r="C12" s="8">
        <v>5.2499999999999998E-2</v>
      </c>
      <c r="D12" s="8">
        <v>5.3999999999999999E-2</v>
      </c>
      <c r="E12" s="8">
        <v>5.2999999999999999E-2</v>
      </c>
      <c r="F12" s="8">
        <v>5.6000000000000001E-2</v>
      </c>
      <c r="G12" s="8">
        <v>5.2999999999999999E-2</v>
      </c>
    </row>
    <row r="13" spans="1:14" x14ac:dyDescent="0.35">
      <c r="A13" s="31" t="s">
        <v>9</v>
      </c>
      <c r="B13" s="8">
        <v>2.5569999999999999E-2</v>
      </c>
      <c r="C13" s="8">
        <v>2.3439999999999999E-2</v>
      </c>
      <c r="D13" s="8">
        <v>2.1229999999999999E-2</v>
      </c>
      <c r="E13" s="8">
        <v>2.4563000000000001E-2</v>
      </c>
      <c r="F13" s="8">
        <v>2.70134E-2</v>
      </c>
      <c r="G13" s="8">
        <v>2.7300000000000001E-2</v>
      </c>
    </row>
    <row r="14" spans="1:14" x14ac:dyDescent="0.35">
      <c r="A14" s="31" t="s">
        <v>10</v>
      </c>
      <c r="B14" s="9">
        <f>B12+($B$9*B13)/100000</f>
        <v>4.997443E-2</v>
      </c>
      <c r="C14" s="9">
        <f t="shared" ref="C14:G14" si="1">C12+($B$9*C13)/100000</f>
        <v>5.2476559999999998E-2</v>
      </c>
      <c r="D14" s="9">
        <f t="shared" si="1"/>
        <v>5.3978770000000002E-2</v>
      </c>
      <c r="E14" s="9">
        <f t="shared" si="1"/>
        <v>5.2975437E-2</v>
      </c>
      <c r="F14" s="9">
        <f t="shared" si="1"/>
        <v>5.5972986600000003E-2</v>
      </c>
      <c r="G14" s="9">
        <f t="shared" si="1"/>
        <v>5.2972699999999998E-2</v>
      </c>
      <c r="H14" s="1"/>
      <c r="I14" s="1"/>
      <c r="J14" s="1"/>
      <c r="K14" s="1"/>
      <c r="L14" s="1"/>
      <c r="M14" s="1"/>
    </row>
    <row r="15" spans="1:14" x14ac:dyDescent="0.35">
      <c r="A15" s="31" t="s">
        <v>0</v>
      </c>
      <c r="B15" s="10">
        <f t="shared" ref="B15:G15" si="2">1/(1+B14)^B11</f>
        <v>0.9524041456895288</v>
      </c>
      <c r="C15" s="10">
        <f t="shared" si="2"/>
        <v>0.90276587747142367</v>
      </c>
      <c r="D15" s="10">
        <f t="shared" si="2"/>
        <v>0.85409152158447033</v>
      </c>
      <c r="E15" s="10">
        <f t="shared" si="2"/>
        <v>0.81344283536774564</v>
      </c>
      <c r="F15" s="10">
        <f t="shared" si="2"/>
        <v>0.76161582246275039</v>
      </c>
      <c r="G15" s="10">
        <f t="shared" si="2"/>
        <v>0.73366420506124874</v>
      </c>
      <c r="H15" s="40"/>
      <c r="I15" s="1"/>
      <c r="J15" s="1"/>
      <c r="K15" s="1"/>
      <c r="L15" s="1"/>
      <c r="M15" s="1"/>
    </row>
    <row r="16" spans="1:14" s="1" customFormat="1" x14ac:dyDescent="0.35">
      <c r="A16" s="32"/>
      <c r="B16" s="5"/>
      <c r="C16" s="5"/>
      <c r="D16" s="5"/>
      <c r="E16" s="5"/>
      <c r="F16" s="5"/>
      <c r="G16" s="12">
        <f>F24*EXP($G$13)</f>
        <v>7.2900750080457183E-2</v>
      </c>
      <c r="H16" s="40"/>
      <c r="M16" s="39"/>
    </row>
    <row r="17" spans="1:13" s="1" customFormat="1" x14ac:dyDescent="0.35">
      <c r="A17" s="32"/>
      <c r="B17" s="5"/>
      <c r="C17" s="5"/>
      <c r="D17" s="5"/>
      <c r="E17" s="5"/>
      <c r="F17" s="5"/>
      <c r="G17" s="20">
        <f>(F24+$B$4)*EXP($G$13)</f>
        <v>7.516163741100626E-2</v>
      </c>
      <c r="H17" s="40"/>
      <c r="M17" s="2">
        <f>MIN($B$8,(100+$B$7)/(1+G$14+$D$9/10000))+$B$7</f>
        <v>104.71768498841423</v>
      </c>
    </row>
    <row r="18" spans="1:13" s="1" customFormat="1" x14ac:dyDescent="0.35">
      <c r="A18" s="32"/>
      <c r="B18" s="5"/>
      <c r="C18" s="5"/>
      <c r="D18" s="5"/>
      <c r="E18" s="5"/>
      <c r="F18" s="5"/>
      <c r="G18" s="12">
        <f>F25*EXP($G$13)</f>
        <v>7.5223544054769928E-2</v>
      </c>
      <c r="H18" s="40"/>
      <c r="M18" s="39"/>
    </row>
    <row r="19" spans="1:13" s="1" customFormat="1" x14ac:dyDescent="0.35">
      <c r="A19" s="32"/>
      <c r="B19" s="5"/>
      <c r="C19" s="5"/>
      <c r="D19" s="5"/>
      <c r="E19" s="5"/>
      <c r="F19" s="5"/>
      <c r="G19" s="20">
        <f>(F25+$B$4)*EXP($G$13)</f>
        <v>7.7484431385319005E-2</v>
      </c>
      <c r="H19" s="40"/>
      <c r="M19" s="2">
        <f>MIN($B$8,(100+$B$7)/(1+G$14+$D$9/10000))+$B$7</f>
        <v>104.71768498841423</v>
      </c>
    </row>
    <row r="20" spans="1:13" s="1" customFormat="1" x14ac:dyDescent="0.35">
      <c r="A20" s="32"/>
      <c r="B20" s="5"/>
      <c r="C20" s="5"/>
      <c r="D20" s="5"/>
      <c r="E20" s="5"/>
      <c r="F20" s="5"/>
      <c r="G20" s="12">
        <f>F26*EXP($G$13)</f>
        <v>7.5281305334197954E-2</v>
      </c>
      <c r="H20" s="40"/>
      <c r="M20" s="39"/>
    </row>
    <row r="21" spans="1:13" s="1" customFormat="1" x14ac:dyDescent="0.35">
      <c r="A21" s="32"/>
      <c r="B21" s="5"/>
      <c r="C21" s="5"/>
      <c r="D21" s="5"/>
      <c r="E21" s="5"/>
      <c r="F21" s="5"/>
      <c r="G21" s="20">
        <f>(F26+$B$4)*EXP($G$13)</f>
        <v>7.7542192664747031E-2</v>
      </c>
      <c r="H21" s="40"/>
      <c r="M21" s="2">
        <f>MIN($B$8,(100+$B$7)/(1+G$14+$D$9/10000))+$B$7</f>
        <v>104.71768498841423</v>
      </c>
    </row>
    <row r="22" spans="1:13" s="1" customFormat="1" x14ac:dyDescent="0.35">
      <c r="A22" s="32"/>
      <c r="B22" s="5"/>
      <c r="C22" s="5"/>
      <c r="D22" s="5"/>
      <c r="E22" s="5"/>
      <c r="F22" s="5"/>
      <c r="G22" s="12">
        <f>F27*EXP($G$13)</f>
        <v>7.7604099308510671E-2</v>
      </c>
      <c r="H22" s="40"/>
      <c r="M22" s="39"/>
    </row>
    <row r="23" spans="1:13" x14ac:dyDescent="0.35">
      <c r="A23" s="32"/>
      <c r="B23" s="5"/>
      <c r="C23" s="5"/>
      <c r="D23" s="5"/>
      <c r="E23" s="5"/>
      <c r="F23" s="5"/>
      <c r="G23" s="20">
        <f>(F27+$B$4)*EXP($G$13)</f>
        <v>7.9864986639059762E-2</v>
      </c>
      <c r="H23" s="38"/>
      <c r="I23" s="39"/>
      <c r="J23" s="39"/>
      <c r="K23" s="39"/>
      <c r="L23" s="39"/>
      <c r="M23" s="2">
        <f>MIN($B$8,(100+$B$7)/(1+G$14+$D$9/10000))+$B$7</f>
        <v>104.71768498841423</v>
      </c>
    </row>
    <row r="24" spans="1:13" x14ac:dyDescent="0.35">
      <c r="A24" s="32"/>
      <c r="B24" s="5"/>
      <c r="C24" s="5"/>
      <c r="D24" s="5"/>
      <c r="E24" s="5"/>
      <c r="F24" s="12">
        <f>E28*EXP($F$13)</f>
        <v>7.0937480169812411E-2</v>
      </c>
      <c r="G24" s="12">
        <f>F28*EXP($G$13)</f>
        <v>7.7712940066136091E-2</v>
      </c>
      <c r="H24" s="1"/>
      <c r="I24" s="39"/>
      <c r="J24" s="39"/>
      <c r="K24" s="39"/>
      <c r="L24" s="2">
        <f>MIN($B$8,AVERAGE(M17:M19)/(1+F24+$D$9/10000))+$B$7</f>
        <v>102.7813242392168</v>
      </c>
      <c r="M24" s="39"/>
    </row>
    <row r="25" spans="1:13" x14ac:dyDescent="0.35">
      <c r="A25" s="32"/>
      <c r="B25" s="5"/>
      <c r="C25" s="5"/>
      <c r="D25" s="5"/>
      <c r="E25" s="5"/>
      <c r="F25" s="20">
        <f>(E28+$B$4)*EXP($F$13)</f>
        <v>7.3197719622897839E-2</v>
      </c>
      <c r="G25" s="20">
        <f>(F28+$B$4)*EXP($G$13)</f>
        <v>7.9973827396685168E-2</v>
      </c>
      <c r="H25" s="1"/>
      <c r="I25" s="1"/>
      <c r="J25" s="39"/>
      <c r="K25" s="39"/>
      <c r="L25" s="39"/>
      <c r="M25" s="2">
        <f>MIN($B$8,(100+$B$7)/(1+G$14+$D$9/10000))+$B$7</f>
        <v>104.71768498841423</v>
      </c>
    </row>
    <row r="26" spans="1:13" x14ac:dyDescent="0.35">
      <c r="A26" s="32"/>
      <c r="B26" s="5"/>
      <c r="C26" s="5"/>
      <c r="D26" s="5"/>
      <c r="E26" s="5"/>
      <c r="F26" s="12">
        <f>E29*EXP($F$13)</f>
        <v>7.3253925349306498E-2</v>
      </c>
      <c r="G26" s="12">
        <f>F29*EXP($G$13)</f>
        <v>8.0035734040448822E-2</v>
      </c>
      <c r="H26" s="1"/>
      <c r="I26" s="1"/>
      <c r="J26" s="1"/>
      <c r="K26" s="39"/>
      <c r="L26" s="2">
        <f>MIN($B$8,AVERAGE(M19:M21)/(1+F26+$D$9/10000))+$B$7</f>
        <v>102.57027905053532</v>
      </c>
      <c r="M26" s="39"/>
    </row>
    <row r="27" spans="1:13" x14ac:dyDescent="0.35">
      <c r="A27" s="32"/>
      <c r="B27" s="5"/>
      <c r="C27" s="5"/>
      <c r="D27" s="5"/>
      <c r="E27" s="5"/>
      <c r="F27" s="20">
        <f>(E29+$B$4)*EXP($F$13)</f>
        <v>7.5514164802391912E-2</v>
      </c>
      <c r="G27" s="20">
        <f>(F29+$B$4)*EXP($G$13)</f>
        <v>8.2296621370997899E-2</v>
      </c>
      <c r="H27" s="1"/>
      <c r="I27" s="1"/>
      <c r="J27" s="1"/>
      <c r="K27" s="2">
        <f>MIN($B$8,AVERAGE(L24:L26)/(1+E28+$D$9/10000))+$B$7</f>
        <v>101.0442471391669</v>
      </c>
      <c r="L27" s="39"/>
      <c r="M27" s="2">
        <f>MIN($B$8,(100+$B$7)/(1+G$14+$D$9/10000))+$B$7</f>
        <v>104.71768498841423</v>
      </c>
    </row>
    <row r="28" spans="1:13" x14ac:dyDescent="0.35">
      <c r="A28" s="32"/>
      <c r="B28" s="5"/>
      <c r="C28" s="5"/>
      <c r="D28" s="5"/>
      <c r="E28" s="12">
        <f>D29*EXP($E$13)</f>
        <v>6.9046868534459224E-2</v>
      </c>
      <c r="F28" s="12">
        <f>E30*EXP($F$13)</f>
        <v>7.5620074399717033E-2</v>
      </c>
      <c r="G28" s="12">
        <f>F30*EXP($G$13)</f>
        <v>7.7655178786708079E-2</v>
      </c>
      <c r="H28" s="1"/>
      <c r="I28" s="1"/>
      <c r="J28" s="1"/>
      <c r="K28" s="39"/>
      <c r="L28" s="2">
        <f>MIN($B$8,AVERAGE(M21:M23)/(1+F28+$D$9/10000))+$B$7</f>
        <v>102.35564394970517</v>
      </c>
      <c r="M28" s="39"/>
    </row>
    <row r="29" spans="1:13" x14ac:dyDescent="0.35">
      <c r="A29" s="32"/>
      <c r="B29" s="5"/>
      <c r="C29" s="5"/>
      <c r="D29" s="12">
        <f>C31*EXP($D$13)</f>
        <v>6.7371530202874022E-2</v>
      </c>
      <c r="E29" s="20">
        <f>(D29+$B$4)*EXP($E$13)</f>
        <v>7.1301576277008463E-2</v>
      </c>
      <c r="F29" s="20">
        <f>(E30+$B$4)*EXP($F$13)</f>
        <v>7.7880313852802446E-2</v>
      </c>
      <c r="G29" s="20">
        <f>(F30+$B$4)*EXP($G$13)</f>
        <v>7.9916066117257156E-2</v>
      </c>
      <c r="H29" s="1"/>
      <c r="I29" s="1"/>
      <c r="J29" s="1"/>
      <c r="K29" s="2">
        <f>MIN($B$8,AVERAGE(L28:L31)/(1+E31+$D$9/10000))+$B$7</f>
        <v>100.63700616810038</v>
      </c>
      <c r="L29" s="39"/>
      <c r="M29" s="2">
        <f>MIN($B$8,(100+$B$7)/(1+G$14+$D$9/10000))+$B$7</f>
        <v>104.71768498841423</v>
      </c>
    </row>
    <row r="30" spans="1:13" s="1" customFormat="1" x14ac:dyDescent="0.35">
      <c r="A30" s="32"/>
      <c r="B30" s="5"/>
      <c r="C30" s="5"/>
      <c r="D30" s="20">
        <f>(C31+$B$4)*EXP($D$13)</f>
        <v>6.9618735514264174E-2</v>
      </c>
      <c r="E30" s="20">
        <f>(D30+$B$4)*EXP($E$13)</f>
        <v>7.3604663192776254E-2</v>
      </c>
      <c r="F30" s="20">
        <f>(E31+$B$4)*EXP($F$13)</f>
        <v>7.5563868673308374E-2</v>
      </c>
      <c r="G30" s="20">
        <f>(F31+$B$4)*EXP($G$13)</f>
        <v>7.7593272142944425E-2</v>
      </c>
      <c r="H30" s="40"/>
      <c r="J30" s="2">
        <f>MIN($B$8,AVERAGE(K27:K29)/(1+D30+$D$9/10000))+$B$7</f>
        <v>99.277169336558302</v>
      </c>
      <c r="K30" s="39"/>
      <c r="L30" s="39"/>
      <c r="M30" s="39"/>
    </row>
    <row r="31" spans="1:13" s="1" customFormat="1" x14ac:dyDescent="0.35">
      <c r="A31" s="32"/>
      <c r="B31" s="5"/>
      <c r="C31" s="20">
        <f>(B32+$B$4)*EXP($C$13*10)</f>
        <v>6.59563083511195E-2</v>
      </c>
      <c r="D31" s="5"/>
      <c r="E31" s="12">
        <f>D30*EXP($E$13)</f>
        <v>7.1349955450227015E-2</v>
      </c>
      <c r="F31" s="12">
        <f>E31*EXP($F$13)</f>
        <v>7.330362922022296E-2</v>
      </c>
      <c r="G31" s="12">
        <f>F31*EXP($G$13)</f>
        <v>7.5332384812395348E-2</v>
      </c>
      <c r="H31" s="51">
        <f>(H32-H6)^2</f>
        <v>25.355149251005905</v>
      </c>
      <c r="I31" s="2">
        <f>MIN($B$8,AVERAGE(J30:J30)/(1+C31+$D$9/10000))+$B$7</f>
        <v>98.134370103898306</v>
      </c>
      <c r="J31" s="39"/>
      <c r="K31" s="39"/>
      <c r="L31" s="2">
        <f>MIN($B$8,AVERAGE(M24:M26)/(1+F31+$D$9/10000))+$B$7</f>
        <v>102.56576064546971</v>
      </c>
      <c r="M31" s="2">
        <f>MIN($B$8,(100+$B$7)/(1+G$14+$D$9/10000))+$B$7</f>
        <v>104.71768498841423</v>
      </c>
    </row>
    <row r="32" spans="1:13" s="1" customFormat="1" x14ac:dyDescent="0.35">
      <c r="A32" s="32"/>
      <c r="B32" s="12">
        <f>B14</f>
        <v>4.997443E-2</v>
      </c>
      <c r="C32" s="37"/>
      <c r="D32" s="5"/>
      <c r="E32" s="5"/>
      <c r="F32" s="5"/>
      <c r="G32" s="5"/>
      <c r="H32" s="3">
        <f>AVERAGE(I32:I33)/(1+B32+$D$8/10000)</f>
        <v>99.86009441139791</v>
      </c>
    </row>
    <row r="33" spans="1:13" s="1" customFormat="1" x14ac:dyDescent="0.35">
      <c r="A33" s="32"/>
      <c r="B33" s="5"/>
      <c r="C33" s="41">
        <f>(B32-$B$4)*EXP($C$13)</f>
        <v>4.8907490227089921E-2</v>
      </c>
      <c r="D33" s="5"/>
      <c r="E33" s="12">
        <f>D34*EXP($E$13)</f>
        <v>4.8896095277437962E-2</v>
      </c>
      <c r="F33" s="12">
        <f>E33*EXP($F$13)</f>
        <v>5.0234947112676905E-2</v>
      </c>
      <c r="G33" s="12">
        <f>F33*EXP($G$13)</f>
        <v>5.1625252489933875E-2</v>
      </c>
      <c r="H33" s="40"/>
      <c r="I33" s="2">
        <f>MIN($B$8,AVERAGE(J34:J34)/(1+C33+$D$9/10000))+$B$7</f>
        <v>104.85054570935371</v>
      </c>
      <c r="J33" s="39"/>
      <c r="K33" s="39"/>
      <c r="L33" s="2">
        <f>MIN($B$8,AVERAGE(M26:M28)/(1+F33+$D$9/10000))+$B$7</f>
        <v>104.70881779958457</v>
      </c>
      <c r="M33" s="2">
        <f>MIN($B$8,(100+$B$7)/(1+G$14+$D$9/10000))+$B$7</f>
        <v>104.71768498841423</v>
      </c>
    </row>
    <row r="34" spans="1:13" s="1" customFormat="1" x14ac:dyDescent="0.35">
      <c r="A34" s="32"/>
      <c r="B34" s="5"/>
      <c r="C34" s="5"/>
      <c r="D34" s="42">
        <f>(C33-$B$4)*EXP($D$13)</f>
        <v>4.7709690963645641E-2</v>
      </c>
      <c r="E34" s="41">
        <f>(D34-$B$4)*EXP($E$13)</f>
        <v>4.6641387534888716E-2</v>
      </c>
      <c r="F34" s="41">
        <f>(E33-$B$4)*EXP($E$13)</f>
        <v>4.7857294349480252E-2</v>
      </c>
      <c r="G34" s="41">
        <f>(F33-$B$4)*EXP($G$13)</f>
        <v>4.936436515938479E-2</v>
      </c>
      <c r="H34" s="40"/>
      <c r="J34" s="2">
        <f>MIN($B$8,AVERAGE(K35:K37)/(1+D35+$D$9/10000))+$B$7</f>
        <v>104.73398529780351</v>
      </c>
      <c r="K34" s="39"/>
      <c r="L34" s="39"/>
      <c r="M34" s="39"/>
    </row>
    <row r="35" spans="1:13" s="1" customFormat="1" x14ac:dyDescent="0.35">
      <c r="A35" s="32"/>
      <c r="B35" s="5"/>
      <c r="C35" s="5"/>
      <c r="D35" s="12">
        <f>C33*EXP($D$13)</f>
        <v>4.9956896275035807E-2</v>
      </c>
      <c r="E35" s="41">
        <f>(D35-$B$4)*EXP($E$13)</f>
        <v>4.8944474450656535E-2</v>
      </c>
      <c r="F35" s="41">
        <f>(E34-$B$4)*EXP($E$13)</f>
        <v>4.5546518438429565E-2</v>
      </c>
      <c r="G35" s="41">
        <f>(F34-$B$4)*EXP($G$13)</f>
        <v>4.6920908337222823E-2</v>
      </c>
      <c r="H35" s="40"/>
      <c r="K35" s="2">
        <f>MIN($B$8,AVERAGE(L33:L36)/(1+E33+$D$9/10000))+$B$7</f>
        <v>104.93270301721066</v>
      </c>
      <c r="L35" s="39"/>
      <c r="M35" s="2">
        <f>MIN($B$8,(100+$B$7)/(1+G$14+$D$9/10000))+$B$7</f>
        <v>104.71768498841423</v>
      </c>
    </row>
    <row r="36" spans="1:13" s="1" customFormat="1" x14ac:dyDescent="0.35">
      <c r="A36" s="32"/>
      <c r="B36" s="5"/>
      <c r="C36" s="5"/>
      <c r="D36" s="5"/>
      <c r="E36" s="12">
        <f>D35*EXP($E$13)</f>
        <v>5.1199182193205781E-2</v>
      </c>
      <c r="F36" s="12">
        <f>E34*EXP($F$13)</f>
        <v>4.7918501933182818E-2</v>
      </c>
      <c r="G36" s="12">
        <f>F34*EXP($G$13)</f>
        <v>4.9181795667771908E-2</v>
      </c>
      <c r="H36" s="40"/>
      <c r="K36" s="39"/>
      <c r="L36" s="2">
        <f>MIN($B$8,AVERAGE(M29:M31)/(1+F36+$D$9/10000))+$B$7</f>
        <v>104.92922617095964</v>
      </c>
      <c r="M36" s="39"/>
    </row>
    <row r="37" spans="1:13" x14ac:dyDescent="0.35">
      <c r="A37" s="32"/>
      <c r="B37" s="5"/>
      <c r="C37" s="5"/>
      <c r="D37" s="5"/>
      <c r="E37" s="5"/>
      <c r="F37" s="41">
        <f>(E35-$B$4)*EXP($E$13)</f>
        <v>4.7906876575132089E-2</v>
      </c>
      <c r="G37" s="41">
        <f>(F35-$B$4)*EXP($G$13)</f>
        <v>4.4546179254935314E-2</v>
      </c>
      <c r="H37" s="38"/>
      <c r="I37" s="39"/>
      <c r="J37" s="39"/>
      <c r="K37" s="2">
        <f>MIN($B$8,AVERAGE(L38:L40)/(1+E36+$D$9/10000))+$B$7</f>
        <v>104.500068295633</v>
      </c>
      <c r="L37" s="39"/>
      <c r="M37" s="2">
        <f>MIN($B$8,(100+$B$7)/(1+G$14+$D$9/10000))+$B$7</f>
        <v>104.71768498841423</v>
      </c>
    </row>
    <row r="38" spans="1:13" x14ac:dyDescent="0.35">
      <c r="A38" s="32"/>
      <c r="B38" s="5"/>
      <c r="C38" s="5"/>
      <c r="D38" s="5"/>
      <c r="E38" s="5"/>
      <c r="F38" s="12">
        <f>E35*EXP($F$13)</f>
        <v>5.0284650983593387E-2</v>
      </c>
      <c r="G38" s="12">
        <f>F35*EXP($G$13)</f>
        <v>4.6807066585484398E-2</v>
      </c>
      <c r="H38" s="1"/>
      <c r="I38" s="39"/>
      <c r="J38" s="39"/>
      <c r="K38" s="39"/>
      <c r="L38" s="2">
        <f>MIN($B$8,AVERAGE(M31:M33)/(1+F38+$D$9/10000))+$B$7</f>
        <v>104.70409916049515</v>
      </c>
      <c r="M38" s="39"/>
    </row>
    <row r="39" spans="1:13" x14ac:dyDescent="0.35">
      <c r="A39" s="32"/>
      <c r="B39" s="5"/>
      <c r="C39" s="5"/>
      <c r="D39" s="5"/>
      <c r="E39" s="5"/>
      <c r="F39" s="41">
        <f>(E36-$B$4)*EXP($E$13)</f>
        <v>5.0217652486182776E-2</v>
      </c>
      <c r="G39" s="41">
        <f>(F36-$B$4)*EXP($G$13)</f>
        <v>4.6983809905644026E-2</v>
      </c>
      <c r="H39" s="1"/>
      <c r="I39" s="1"/>
      <c r="J39" s="39"/>
      <c r="K39" s="39"/>
      <c r="L39" s="39"/>
      <c r="M39" s="2">
        <f>MIN($B$8,(100+$B$7)/(1+G$14+$D$9/10000))+$B$7</f>
        <v>104.71768498841423</v>
      </c>
    </row>
    <row r="40" spans="1:13" x14ac:dyDescent="0.35">
      <c r="A40" s="32"/>
      <c r="B40" s="5"/>
      <c r="C40" s="5"/>
      <c r="D40" s="5"/>
      <c r="E40" s="5"/>
      <c r="F40" s="12">
        <f>E36*EXP($F$13)</f>
        <v>5.2601096163087474E-2</v>
      </c>
      <c r="G40" s="12">
        <f>F36*EXP($G$13)</f>
        <v>4.9244697236193111E-2</v>
      </c>
      <c r="H40" s="1"/>
      <c r="I40" s="1"/>
      <c r="J40" s="1"/>
      <c r="K40" s="39"/>
      <c r="L40" s="2">
        <f>MIN($B$8,AVERAGE(M33:M35)/(1+F40+$D$9/10000))+$B$7</f>
        <v>104.48468168057991</v>
      </c>
      <c r="M40" s="39"/>
    </row>
    <row r="41" spans="1:13" x14ac:dyDescent="0.35">
      <c r="A41" s="32"/>
      <c r="B41" s="5"/>
      <c r="C41" s="5"/>
      <c r="D41" s="5"/>
      <c r="E41" s="5"/>
      <c r="F41" s="5"/>
      <c r="G41" s="41">
        <f>(F37-$B$4)*EXP($G$13)</f>
        <v>4.6971862803494031E-2</v>
      </c>
      <c r="H41" s="1"/>
      <c r="I41" s="1"/>
      <c r="J41" s="1"/>
      <c r="K41" s="1"/>
      <c r="L41" s="39"/>
      <c r="M41" s="2">
        <f>MIN($B$8,(100+$B$7)/(1+G$14+$D$9/10000))+$B$7</f>
        <v>104.71768498841423</v>
      </c>
    </row>
    <row r="42" spans="1:13" x14ac:dyDescent="0.35">
      <c r="A42" s="32"/>
      <c r="B42" s="5"/>
      <c r="C42" s="5"/>
      <c r="D42" s="5"/>
      <c r="E42" s="5"/>
      <c r="F42" s="5"/>
      <c r="G42" s="12">
        <f>F37*EXP($G$13)</f>
        <v>4.9232750134043116E-2</v>
      </c>
      <c r="H42" s="1"/>
      <c r="I42" s="1"/>
      <c r="J42" s="1"/>
      <c r="K42" s="1"/>
      <c r="L42" s="1"/>
      <c r="M42" s="39"/>
    </row>
    <row r="43" spans="1:13" x14ac:dyDescent="0.35">
      <c r="A43" s="32"/>
      <c r="B43" s="5"/>
      <c r="C43" s="5"/>
      <c r="D43" s="5"/>
      <c r="E43" s="5"/>
      <c r="F43" s="5"/>
      <c r="G43" s="41">
        <f>(F38-0.001)*EXP($G$13)</f>
        <v>5.06486559087908E-2</v>
      </c>
      <c r="H43" s="1"/>
      <c r="I43" s="1"/>
      <c r="J43" s="1"/>
      <c r="K43" s="1"/>
      <c r="L43" s="1"/>
      <c r="M43" s="2">
        <f>MIN($B$8,(100+$B$7)/(1+G$14+$D$9/10000))+$B$7</f>
        <v>104.71768498841423</v>
      </c>
    </row>
    <row r="44" spans="1:13" s="1" customFormat="1" x14ac:dyDescent="0.35">
      <c r="A44" s="32"/>
      <c r="B44" s="5"/>
      <c r="C44" s="5"/>
      <c r="D44" s="5"/>
      <c r="E44" s="5"/>
      <c r="F44" s="5"/>
      <c r="G44" s="12">
        <f>F38*EXP($G$13)</f>
        <v>5.1676331968131296E-2</v>
      </c>
      <c r="H44" s="40"/>
      <c r="M44" s="39"/>
    </row>
    <row r="45" spans="1:13" s="1" customFormat="1" x14ac:dyDescent="0.35">
      <c r="A45" s="32"/>
      <c r="B45" s="5"/>
      <c r="C45" s="5"/>
      <c r="D45" s="5"/>
      <c r="E45" s="5"/>
      <c r="F45" s="5"/>
      <c r="G45" s="41">
        <f>(F39-$B$4)*EXP($G$13)</f>
        <v>4.9346591885781541E-2</v>
      </c>
      <c r="H45" s="40"/>
      <c r="M45" s="2">
        <f>MIN($B$8,(100+$B$7)/(1+G$14+$D$9/10000))+$B$7</f>
        <v>104.71768498841423</v>
      </c>
    </row>
    <row r="46" spans="1:13" s="1" customFormat="1" x14ac:dyDescent="0.35">
      <c r="A46" s="32"/>
      <c r="B46" s="5"/>
      <c r="C46" s="5"/>
      <c r="D46" s="5"/>
      <c r="E46" s="5"/>
      <c r="F46" s="5"/>
      <c r="G46" s="12">
        <f>F39*EXP($G$13)</f>
        <v>5.1607479216330625E-2</v>
      </c>
      <c r="H46" s="40"/>
      <c r="M46" s="39"/>
    </row>
    <row r="47" spans="1:13" s="1" customFormat="1" x14ac:dyDescent="0.35">
      <c r="A47" s="32"/>
      <c r="B47" s="5"/>
      <c r="C47" s="5"/>
      <c r="D47" s="5"/>
      <c r="E47" s="5"/>
      <c r="F47" s="5"/>
      <c r="G47" s="41">
        <f>(F40-$B$4)*EXP($G$13)</f>
        <v>5.1795999891322976E-2</v>
      </c>
      <c r="H47" s="40"/>
      <c r="M47" s="2">
        <f>MIN($B$8,(100+$B$7)/(1+G$14+$D$9/10000))+$B$7</f>
        <v>104.71768498841423</v>
      </c>
    </row>
    <row r="48" spans="1:13" s="1" customFormat="1" x14ac:dyDescent="0.35">
      <c r="A48" s="32"/>
      <c r="B48" s="5"/>
      <c r="C48" s="5"/>
      <c r="D48" s="5"/>
      <c r="E48" s="5"/>
      <c r="F48" s="5"/>
      <c r="G48" s="12">
        <f>F40*EXP($G$13)</f>
        <v>5.405688722187206E-2</v>
      </c>
      <c r="H48" s="40"/>
      <c r="M48" s="39"/>
    </row>
    <row r="49" spans="1:13" s="1" customFormat="1" x14ac:dyDescent="0.35">
      <c r="A49" s="30" t="s">
        <v>8</v>
      </c>
      <c r="B49" s="7">
        <v>1</v>
      </c>
      <c r="C49" s="7">
        <v>2</v>
      </c>
      <c r="D49" s="7">
        <v>3</v>
      </c>
      <c r="E49" s="7">
        <v>4</v>
      </c>
      <c r="F49" s="7">
        <v>5</v>
      </c>
      <c r="G49" s="7">
        <v>6</v>
      </c>
    </row>
    <row r="50" spans="1:13" x14ac:dyDescent="0.35">
      <c r="A50" s="19"/>
      <c r="B50" s="19"/>
      <c r="C50" s="18">
        <v>4.3452240693330778E-2</v>
      </c>
      <c r="D50" s="18">
        <v>3.8582243402473952E-2</v>
      </c>
      <c r="E50" s="18">
        <v>3.34638209012173E-2</v>
      </c>
      <c r="F50" s="18">
        <v>2.4968299866598511E-2</v>
      </c>
      <c r="G50" s="18">
        <v>2.8159134817517101E-2</v>
      </c>
      <c r="I50" s="1"/>
      <c r="J50" s="1"/>
      <c r="K50" s="1"/>
      <c r="L50" s="1"/>
      <c r="M50" s="1"/>
    </row>
    <row r="51" spans="1:13" x14ac:dyDescent="0.35">
      <c r="A51" s="31" t="s">
        <v>19</v>
      </c>
      <c r="B51" s="9">
        <f t="shared" ref="B51:G51" si="3">B14+0.001</f>
        <v>5.0974430000000001E-2</v>
      </c>
      <c r="C51" s="9">
        <f t="shared" si="3"/>
        <v>5.3476559999999999E-2</v>
      </c>
      <c r="D51" s="9">
        <f t="shared" si="3"/>
        <v>5.4978770000000003E-2</v>
      </c>
      <c r="E51" s="9">
        <f t="shared" si="3"/>
        <v>5.3975437000000001E-2</v>
      </c>
      <c r="F51" s="9">
        <f t="shared" si="3"/>
        <v>5.6972986600000004E-2</v>
      </c>
      <c r="G51" s="9">
        <f t="shared" si="3"/>
        <v>5.3972699999999998E-2</v>
      </c>
      <c r="H51" s="1"/>
      <c r="I51" s="1"/>
      <c r="J51" s="1"/>
      <c r="K51" s="1"/>
      <c r="L51" s="1"/>
      <c r="M51" s="1"/>
    </row>
    <row r="52" spans="1:13" x14ac:dyDescent="0.35">
      <c r="A52" s="31" t="s">
        <v>0</v>
      </c>
      <c r="B52" s="10">
        <f>1/(1+B51)^B13</f>
        <v>0.99872952455386699</v>
      </c>
      <c r="C52" s="10">
        <f t="shared" ref="C52:G52" si="4">1/(1+C51)^C13</f>
        <v>0.99877962195723879</v>
      </c>
      <c r="D52" s="10">
        <f t="shared" si="4"/>
        <v>0.99886440201838866</v>
      </c>
      <c r="E52" s="10">
        <f t="shared" si="4"/>
        <v>0.99870957739636335</v>
      </c>
      <c r="F52" s="10">
        <f t="shared" si="4"/>
        <v>0.99850433010107664</v>
      </c>
      <c r="G52" s="10">
        <f t="shared" si="4"/>
        <v>0.99856596244309725</v>
      </c>
      <c r="H52" s="1"/>
      <c r="I52" s="1"/>
      <c r="J52" s="1"/>
      <c r="K52" s="1"/>
      <c r="L52" s="1"/>
    </row>
    <row r="53" spans="1:13" s="1" customFormat="1" x14ac:dyDescent="0.35">
      <c r="A53" s="32"/>
      <c r="B53" s="5"/>
      <c r="C53" s="5"/>
      <c r="D53" s="5"/>
      <c r="E53" s="5"/>
      <c r="F53" s="5"/>
      <c r="G53" s="12">
        <f>F61*EXP($G$13)</f>
        <v>7.4298000612575243E-2</v>
      </c>
      <c r="H53" s="40"/>
      <c r="M53" s="39"/>
    </row>
    <row r="54" spans="1:13" s="1" customFormat="1" x14ac:dyDescent="0.35">
      <c r="A54" s="32"/>
      <c r="B54" s="5"/>
      <c r="C54" s="5"/>
      <c r="D54" s="5"/>
      <c r="E54" s="5"/>
      <c r="F54" s="5"/>
      <c r="G54" s="20">
        <f>(F61+$B$4)*EXP($G$13)</f>
        <v>7.6558887943124321E-2</v>
      </c>
      <c r="H54" s="40"/>
      <c r="M54" s="2">
        <f>MIN($B$8,(100+$B$7)/(1+G$51+$D$9/10000))+$B$7</f>
        <v>104.62307372857001</v>
      </c>
    </row>
    <row r="55" spans="1:13" s="1" customFormat="1" x14ac:dyDescent="0.35">
      <c r="A55" s="32"/>
      <c r="B55" s="5"/>
      <c r="C55" s="5"/>
      <c r="D55" s="5"/>
      <c r="E55" s="5"/>
      <c r="F55" s="5"/>
      <c r="G55" s="12">
        <f>F62*EXP($G$13)</f>
        <v>7.6620794586887975E-2</v>
      </c>
      <c r="H55" s="40"/>
      <c r="M55" s="39"/>
    </row>
    <row r="56" spans="1:13" s="1" customFormat="1" x14ac:dyDescent="0.35">
      <c r="A56" s="32"/>
      <c r="B56" s="5"/>
      <c r="C56" s="5"/>
      <c r="D56" s="5"/>
      <c r="E56" s="5"/>
      <c r="F56" s="5"/>
      <c r="G56" s="20">
        <f>(F62+$B$4)*EXP($G$13)</f>
        <v>7.8881681917437052E-2</v>
      </c>
      <c r="H56" s="40"/>
      <c r="M56" s="2">
        <f>MIN($B$8,(100+$B$7)/(1+G$51+$D$9/10000))+$B$7</f>
        <v>104.62307372857001</v>
      </c>
    </row>
    <row r="57" spans="1:13" s="1" customFormat="1" x14ac:dyDescent="0.35">
      <c r="A57" s="32"/>
      <c r="B57" s="5"/>
      <c r="C57" s="5"/>
      <c r="D57" s="5"/>
      <c r="E57" s="5"/>
      <c r="F57" s="5"/>
      <c r="G57" s="12">
        <f>F63*EXP($G$13)</f>
        <v>7.6678555866315987E-2</v>
      </c>
      <c r="H57" s="40"/>
      <c r="M57" s="39"/>
    </row>
    <row r="58" spans="1:13" s="1" customFormat="1" x14ac:dyDescent="0.35">
      <c r="A58" s="32"/>
      <c r="B58" s="5"/>
      <c r="C58" s="5"/>
      <c r="D58" s="5"/>
      <c r="E58" s="5"/>
      <c r="F58" s="5"/>
      <c r="G58" s="20">
        <f>(F63+$B$4)*EXP($G$13)</f>
        <v>7.8939443196865064E-2</v>
      </c>
      <c r="H58" s="40"/>
      <c r="M58" s="2">
        <f>MIN($B$8,(100+$B$7)/(1+G$51+$D$9/10000))+$B$7</f>
        <v>104.62307372857001</v>
      </c>
    </row>
    <row r="59" spans="1:13" s="1" customFormat="1" x14ac:dyDescent="0.35">
      <c r="A59" s="32"/>
      <c r="B59" s="5"/>
      <c r="C59" s="5"/>
      <c r="D59" s="5"/>
      <c r="E59" s="5"/>
      <c r="F59" s="5"/>
      <c r="G59" s="12">
        <f>F64*EXP($G$13)</f>
        <v>7.9001349840628718E-2</v>
      </c>
      <c r="H59" s="40"/>
      <c r="M59" s="39"/>
    </row>
    <row r="60" spans="1:13" x14ac:dyDescent="0.35">
      <c r="A60" s="32"/>
      <c r="B60" s="5"/>
      <c r="C60" s="5"/>
      <c r="D60" s="5"/>
      <c r="E60" s="5"/>
      <c r="F60" s="5"/>
      <c r="G60" s="20">
        <f>(F64+$B$4)*EXP($G$13)</f>
        <v>8.1262237171177795E-2</v>
      </c>
      <c r="H60" s="38"/>
      <c r="I60" s="39"/>
      <c r="J60" s="39"/>
      <c r="K60" s="39"/>
      <c r="L60" s="39"/>
      <c r="M60" s="2">
        <f>MIN($B$8,(100+$B$7)/(1+G$51+$D$9/10000))+$B$7</f>
        <v>104.62307372857001</v>
      </c>
    </row>
    <row r="61" spans="1:13" x14ac:dyDescent="0.35">
      <c r="A61" s="32"/>
      <c r="B61" s="5"/>
      <c r="C61" s="5"/>
      <c r="D61" s="5"/>
      <c r="E61" s="5"/>
      <c r="F61" s="12">
        <f>E65*EXP($F$13)</f>
        <v>7.2297101734816793E-2</v>
      </c>
      <c r="G61" s="12">
        <f>F65*EXP($G$13)</f>
        <v>7.9110190598254165E-2</v>
      </c>
      <c r="H61" s="1"/>
      <c r="I61" s="39"/>
      <c r="J61" s="39"/>
      <c r="K61" s="39"/>
      <c r="L61" s="2">
        <f>MIN($B$8,AVERAGE(M54:M56)/(1+F61+$D$9/10000))+$B$7</f>
        <v>102.56910986638448</v>
      </c>
      <c r="M61" s="39"/>
    </row>
    <row r="62" spans="1:13" x14ac:dyDescent="0.35">
      <c r="A62" s="32"/>
      <c r="B62" s="5"/>
      <c r="C62" s="5"/>
      <c r="D62" s="5"/>
      <c r="E62" s="5"/>
      <c r="F62" s="20">
        <f>(E65+$B$4)*EXP($F$13)</f>
        <v>7.4557341187902207E-2</v>
      </c>
      <c r="G62" s="20">
        <f>(F65+$B$4)*EXP($G$13)</f>
        <v>8.1371077928803243E-2</v>
      </c>
      <c r="H62" s="1"/>
      <c r="I62" s="1"/>
      <c r="J62" s="39"/>
      <c r="K62" s="39"/>
      <c r="L62" s="39"/>
      <c r="M62" s="2">
        <f>MIN($B$8,(100+$B$7)/(1+G$51+$D$9/10000))+$B$7</f>
        <v>104.62307372857001</v>
      </c>
    </row>
    <row r="63" spans="1:13" x14ac:dyDescent="0.35">
      <c r="A63" s="32"/>
      <c r="B63" s="5"/>
      <c r="C63" s="5"/>
      <c r="D63" s="5"/>
      <c r="E63" s="5"/>
      <c r="F63" s="12">
        <f>E66*EXP($F$13)</f>
        <v>7.4613546914310866E-2</v>
      </c>
      <c r="G63" s="12">
        <f>F66*EXP($G$13)</f>
        <v>8.1432984572566897E-2</v>
      </c>
      <c r="H63" s="1"/>
      <c r="I63" s="1"/>
      <c r="J63" s="1"/>
      <c r="K63" s="39"/>
      <c r="L63" s="2">
        <f>MIN($B$8,AVERAGE(M56:M58)/(1+F63+$D$9/10000))+$B$7</f>
        <v>102.35878914702776</v>
      </c>
      <c r="M63" s="39"/>
    </row>
    <row r="64" spans="1:13" x14ac:dyDescent="0.35">
      <c r="A64" s="32"/>
      <c r="B64" s="5"/>
      <c r="C64" s="5"/>
      <c r="D64" s="5"/>
      <c r="E64" s="5"/>
      <c r="F64" s="20">
        <f>(E66+$B$4)*EXP($F$13)</f>
        <v>7.687378636739628E-2</v>
      </c>
      <c r="G64" s="20">
        <f>(F66+$B$4)*EXP($G$13)</f>
        <v>8.3693871903115974E-2</v>
      </c>
      <c r="H64" s="1"/>
      <c r="I64" s="1"/>
      <c r="J64" s="1"/>
      <c r="K64" s="2">
        <f>MIN($B$8,AVERAGE(L61:L63)/(1+E65+$D$9/10000))+$B$7</f>
        <v>100.72757571421316</v>
      </c>
      <c r="L64" s="39"/>
      <c r="M64" s="2">
        <f>MIN($B$8,(100+$B$7)/(1+G$51+$D$9/10000))+$B$7</f>
        <v>104.62307372857001</v>
      </c>
    </row>
    <row r="65" spans="1:13" x14ac:dyDescent="0.35">
      <c r="A65" s="32"/>
      <c r="B65" s="5"/>
      <c r="C65" s="5"/>
      <c r="D65" s="5"/>
      <c r="E65" s="12">
        <f>D66*EXP($E$13)</f>
        <v>7.0370253735494631E-2</v>
      </c>
      <c r="F65" s="12">
        <f>E67*EXP($F$13)</f>
        <v>7.6979695964721429E-2</v>
      </c>
      <c r="G65" s="12">
        <f>F67*EXP($G$13)</f>
        <v>7.9052429318826153E-2</v>
      </c>
      <c r="H65" s="1"/>
      <c r="I65" s="1"/>
      <c r="J65" s="1"/>
      <c r="K65" s="39"/>
      <c r="L65" s="2">
        <f>MIN($B$8,AVERAGE(M58:M60)/(1+F65+$D$9/10000))+$B$7</f>
        <v>102.14488965815853</v>
      </c>
      <c r="M65" s="39"/>
    </row>
    <row r="66" spans="1:13" x14ac:dyDescent="0.35">
      <c r="A66" s="32"/>
      <c r="B66" s="5"/>
      <c r="C66" s="5"/>
      <c r="D66" s="12">
        <f>C68*EXP($D$13)</f>
        <v>6.8662805070713942E-2</v>
      </c>
      <c r="E66" s="20">
        <f>(D66+$B$4)*EXP($E$13)</f>
        <v>7.262496147804387E-2</v>
      </c>
      <c r="F66" s="20">
        <f>(E67+$B$4)*EXP($F$13)</f>
        <v>7.9239935417806842E-2</v>
      </c>
      <c r="G66" s="20">
        <f>(F67+$B$4)*EXP($G$13)</f>
        <v>8.1313316649375231E-2</v>
      </c>
      <c r="H66" s="1"/>
      <c r="I66" s="1"/>
      <c r="J66" s="1"/>
      <c r="K66" s="2">
        <f>MIN($B$8,AVERAGE(L65:L68)/(1+E68+$D$9/10000))+$B$7</f>
        <v>100.32220488206313</v>
      </c>
      <c r="L66" s="39"/>
      <c r="M66" s="2">
        <f>MIN($B$8,(100+$B$7)/(1+G$51+$D$9/10000))+$B$7</f>
        <v>104.62307372857001</v>
      </c>
    </row>
    <row r="67" spans="1:13" x14ac:dyDescent="0.35">
      <c r="A67" s="32"/>
      <c r="B67" s="5"/>
      <c r="C67" s="5"/>
      <c r="D67" s="20">
        <f>(C68+$B$4)*EXP($D$13)</f>
        <v>7.0910010382104108E-2</v>
      </c>
      <c r="E67" s="20">
        <f>(D67+$B$4)*EXP($E$13)</f>
        <v>7.4928048393811689E-2</v>
      </c>
      <c r="F67" s="20">
        <f>(E68+$B$4)*EXP($F$13)</f>
        <v>7.6923490238312769E-2</v>
      </c>
      <c r="G67" s="20">
        <f>(F68+$B$4)*EXP($G$13)</f>
        <v>7.8990522675062499E-2</v>
      </c>
      <c r="H67" s="40"/>
      <c r="I67" s="1"/>
      <c r="J67" s="2">
        <f>MIN($B$8,AVERAGE(K64:K66)/(1+D67+$D$9/10000))+$B$7</f>
        <v>98.86866246797949</v>
      </c>
      <c r="K67" s="39"/>
      <c r="L67" s="39"/>
      <c r="M67" s="39"/>
    </row>
    <row r="68" spans="1:13" x14ac:dyDescent="0.35">
      <c r="A68" s="32"/>
      <c r="B68" s="5"/>
      <c r="C68" s="20">
        <f>(B69+$B$4)*EXP($C$13*10)</f>
        <v>6.7220458402229191E-2</v>
      </c>
      <c r="D68" s="5"/>
      <c r="E68" s="12">
        <f>D67*EXP($E$13)</f>
        <v>7.267334065126245E-2</v>
      </c>
      <c r="F68" s="12">
        <f>E68*EXP($F$13)</f>
        <v>7.4663250785227356E-2</v>
      </c>
      <c r="G68" s="12">
        <f>F68*EXP($G$13)</f>
        <v>7.6729635344513422E-2</v>
      </c>
      <c r="H68" s="40"/>
      <c r="I68" s="2">
        <f>MIN($B$8,AVERAGE(J67:J67)/(1+C68+$D$9/10000))+$B$7</f>
        <v>97.641273590274892</v>
      </c>
      <c r="J68" s="39"/>
      <c r="K68" s="39"/>
      <c r="L68" s="2">
        <f>MIN($B$8,AVERAGE(M61:M63)/(1+F68+$D$9/10000))+$B$7</f>
        <v>102.35428624001496</v>
      </c>
      <c r="M68" s="2">
        <f>MIN($B$8,(100+$B$7)/(1+G$51+$D$9/10000))+$B$7</f>
        <v>104.62307372857001</v>
      </c>
    </row>
    <row r="69" spans="1:13" x14ac:dyDescent="0.35">
      <c r="A69" s="32"/>
      <c r="B69" s="12">
        <f>B51</f>
        <v>5.0974430000000001E-2</v>
      </c>
      <c r="C69" s="37"/>
      <c r="D69" s="5"/>
      <c r="E69" s="5"/>
      <c r="F69" s="5"/>
      <c r="G69" s="5"/>
      <c r="H69" s="3" t="e">
        <f>AVERAGE(I69:I70)/(1+B69+$G$5/10000)</f>
        <v>#VALUE!</v>
      </c>
      <c r="I69" s="1"/>
      <c r="J69" s="1"/>
      <c r="K69" s="1"/>
      <c r="L69" s="1"/>
      <c r="M69" s="1"/>
    </row>
    <row r="70" spans="1:13" x14ac:dyDescent="0.35">
      <c r="A70" s="32"/>
      <c r="B70" s="5"/>
      <c r="C70" s="41">
        <f>(B69-$B$4)*EXP($C$13)</f>
        <v>4.9931207102981275E-2</v>
      </c>
      <c r="D70" s="5"/>
      <c r="E70" s="12">
        <f>D71*EXP($E$13)</f>
        <v>4.9967781160308908E-2</v>
      </c>
      <c r="F70" s="12">
        <f>E70*EXP($F$13)</f>
        <v>5.1335977437122177E-2</v>
      </c>
      <c r="G70" s="12">
        <f>F70*EXP($G$13)</f>
        <v>5.2756754994974182E-2</v>
      </c>
      <c r="H70" s="40"/>
      <c r="I70" s="2">
        <f>MIN($B$8,AVERAGE(J71:J71)/(1+C70+$D$9/10000))+$B$7</f>
        <v>104.39893533749361</v>
      </c>
      <c r="J70" s="39"/>
      <c r="K70" s="39"/>
      <c r="L70" s="2">
        <f>MIN($B$8,AVERAGE(M63:M65)/(1+F70+$D$9/10000))+$B$7</f>
        <v>104.51440450427013</v>
      </c>
      <c r="M70" s="2">
        <f>MIN($B$8,(100+$B$7)/(1+G$51+$D$9/10000))+$B$7</f>
        <v>104.62307372857001</v>
      </c>
    </row>
    <row r="71" spans="1:13" x14ac:dyDescent="0.35">
      <c r="A71" s="32"/>
      <c r="B71" s="5"/>
      <c r="C71" s="5"/>
      <c r="D71" s="42">
        <f>(C70-$B$4)*EXP($D$13)</f>
        <v>4.8755373691310548E-2</v>
      </c>
      <c r="E71" s="41">
        <f>(D71-$B$4)*EXP($E$13)</f>
        <v>4.7713073417759662E-2</v>
      </c>
      <c r="F71" s="41">
        <f>(E70-$B$4)*EXP($E$13)</f>
        <v>4.8955630012066542E-2</v>
      </c>
      <c r="G71" s="41">
        <f>(F70-$B$4)*EXP($G$13)</f>
        <v>5.0495867664425091E-2</v>
      </c>
      <c r="H71" s="40"/>
      <c r="I71" s="1"/>
      <c r="J71" s="2">
        <f>MIN($B$8,AVERAGE(K72:K74)/(1+D72+$D$9/10000))+$B$7</f>
        <v>104.36204416364586</v>
      </c>
      <c r="K71" s="39"/>
      <c r="L71" s="39"/>
      <c r="M71" s="39"/>
    </row>
    <row r="72" spans="1:13" x14ac:dyDescent="0.35">
      <c r="A72" s="32"/>
      <c r="B72" s="5"/>
      <c r="C72" s="5"/>
      <c r="D72" s="12">
        <f>C70*EXP($D$13)</f>
        <v>5.1002579002700707E-2</v>
      </c>
      <c r="E72" s="41">
        <f>(D72-$B$4)*EXP($E$13)</f>
        <v>5.0016160333527473E-2</v>
      </c>
      <c r="F72" s="41">
        <f>(E71-$B$4)*EXP($E$13)</f>
        <v>4.6644854101015855E-2</v>
      </c>
      <c r="G72" s="41">
        <f>(F71-$B$4)*EXP($G$13)</f>
        <v>4.8049641602782633E-2</v>
      </c>
      <c r="H72" s="40"/>
      <c r="I72" s="1"/>
      <c r="J72" s="1"/>
      <c r="K72" s="2">
        <f>MIN($B$8,AVERAGE(L70:L73)/(1+E70+$D$9/10000))+$B$7</f>
        <v>104.64522745111705</v>
      </c>
      <c r="L72" s="39"/>
      <c r="M72" s="2">
        <f>MIN($B$8,(100+$B$7)/(1+G$51+$D$9/10000))+$B$7</f>
        <v>104.62307372857001</v>
      </c>
    </row>
    <row r="73" spans="1:13" x14ac:dyDescent="0.35">
      <c r="A73" s="32"/>
      <c r="B73" s="5"/>
      <c r="C73" s="5"/>
      <c r="D73" s="5"/>
      <c r="E73" s="12">
        <f>D72*EXP($E$13)</f>
        <v>5.2270868076076712E-2</v>
      </c>
      <c r="F73" s="12">
        <f>E71*EXP($F$13)</f>
        <v>4.901953225762809E-2</v>
      </c>
      <c r="G73" s="12">
        <f>F71*EXP($G$13)</f>
        <v>5.0310528933331718E-2</v>
      </c>
      <c r="H73" s="40"/>
      <c r="I73" s="1"/>
      <c r="J73" s="1"/>
      <c r="K73" s="39"/>
      <c r="L73" s="2">
        <f>MIN($B$8,AVERAGE(M66:M68)/(1+F73+$D$9/10000))+$B$7</f>
        <v>104.73415223585721</v>
      </c>
      <c r="M73" s="39"/>
    </row>
    <row r="74" spans="1:13" x14ac:dyDescent="0.35">
      <c r="A74" s="32"/>
      <c r="B74" s="5"/>
      <c r="C74" s="5"/>
      <c r="D74" s="5"/>
      <c r="E74" s="5"/>
      <c r="F74" s="41">
        <f>(E72-$B$4)*EXP($E$13)</f>
        <v>4.9005212237718372E-2</v>
      </c>
      <c r="G74" s="41">
        <f>(F72-$B$4)*EXP($G$13)</f>
        <v>4.5674912520495124E-2</v>
      </c>
      <c r="H74" s="38"/>
      <c r="I74" s="39"/>
      <c r="J74" s="39"/>
      <c r="K74" s="2">
        <f>MIN($B$8,AVERAGE(L75:L77)/(1+E73+$D$9/10000))+$B$7</f>
        <v>104.21430189082704</v>
      </c>
      <c r="L74" s="39"/>
      <c r="M74" s="2">
        <f>MIN($B$8,(100+$B$7)/(1+G$51+$D$9/10000))+$B$7</f>
        <v>104.62307372857001</v>
      </c>
    </row>
    <row r="75" spans="1:13" x14ac:dyDescent="0.35">
      <c r="A75" s="32"/>
      <c r="B75" s="5"/>
      <c r="C75" s="5"/>
      <c r="D75" s="5"/>
      <c r="E75" s="5"/>
      <c r="F75" s="12">
        <f>E72*EXP($F$13)</f>
        <v>5.1385681308038653E-2</v>
      </c>
      <c r="G75" s="12">
        <f>F72*EXP($G$13)</f>
        <v>4.7935799851044208E-2</v>
      </c>
      <c r="H75" s="1"/>
      <c r="I75" s="39"/>
      <c r="J75" s="39"/>
      <c r="K75" s="39"/>
      <c r="L75" s="2">
        <f>MIN($B$8,AVERAGE(M68:M70)/(1+F75+$D$9/10000))+$B$7</f>
        <v>104.50969999744287</v>
      </c>
      <c r="M75" s="39"/>
    </row>
    <row r="76" spans="1:13" x14ac:dyDescent="0.35">
      <c r="A76" s="32"/>
      <c r="B76" s="5"/>
      <c r="C76" s="5"/>
      <c r="D76" s="5"/>
      <c r="E76" s="5"/>
      <c r="F76" s="41">
        <f>(E73-$B$4)*EXP($E$13)</f>
        <v>5.1315988148769053E-2</v>
      </c>
      <c r="G76" s="41">
        <f>(F73-$B$4)*EXP($G$13)</f>
        <v>4.8115312410684327E-2</v>
      </c>
      <c r="H76" s="1"/>
      <c r="I76" s="1"/>
      <c r="J76" s="39"/>
      <c r="K76" s="39"/>
      <c r="L76" s="39"/>
      <c r="M76" s="2">
        <f>MIN($B$8,(100+$B$7)/(1+G$51+$D$9/10000))+$B$7</f>
        <v>104.62307372857001</v>
      </c>
    </row>
    <row r="77" spans="1:13" x14ac:dyDescent="0.35">
      <c r="A77" s="32"/>
      <c r="B77" s="5"/>
      <c r="C77" s="5"/>
      <c r="D77" s="5"/>
      <c r="E77" s="5"/>
      <c r="F77" s="12">
        <f>E73*EXP($F$13)</f>
        <v>5.3702126487532725E-2</v>
      </c>
      <c r="G77" s="12">
        <f>F73*EXP($G$13)</f>
        <v>5.0376199741233418E-2</v>
      </c>
      <c r="H77" s="1"/>
      <c r="I77" s="1"/>
      <c r="J77" s="1"/>
      <c r="K77" s="39"/>
      <c r="L77" s="2">
        <f>MIN($B$8,AVERAGE(M70:M72)/(1+F77+$D$9/10000))+$B$7</f>
        <v>104.29093915500215</v>
      </c>
      <c r="M77" s="39"/>
    </row>
    <row r="78" spans="1:13" x14ac:dyDescent="0.35">
      <c r="A78" s="32"/>
      <c r="B78" s="5"/>
      <c r="C78" s="5"/>
      <c r="D78" s="5"/>
      <c r="E78" s="5"/>
      <c r="F78" s="5"/>
      <c r="G78" s="41">
        <f>(F74-$B$4)*EXP($G$13)</f>
        <v>4.8100596069053835E-2</v>
      </c>
      <c r="H78" s="1"/>
      <c r="I78" s="1"/>
      <c r="J78" s="1"/>
      <c r="K78" s="1"/>
      <c r="L78" s="39"/>
      <c r="M78" s="2">
        <f>MIN($B$8,(100+$B$7)/(1+G$51+$D$9/10000))+$B$7</f>
        <v>104.62307372857001</v>
      </c>
    </row>
    <row r="79" spans="1:13" x14ac:dyDescent="0.35">
      <c r="A79" s="32"/>
      <c r="B79" s="5"/>
      <c r="C79" s="5"/>
      <c r="D79" s="5"/>
      <c r="E79" s="5"/>
      <c r="F79" s="5"/>
      <c r="G79" s="12">
        <f>F74*EXP($G$13)</f>
        <v>5.0361483399602919E-2</v>
      </c>
      <c r="H79" s="1"/>
      <c r="I79" s="1"/>
      <c r="J79" s="1"/>
      <c r="K79" s="1"/>
      <c r="L79" s="1"/>
      <c r="M79" s="39"/>
    </row>
    <row r="80" spans="1:13" x14ac:dyDescent="0.35">
      <c r="A80" s="32"/>
      <c r="B80" s="5"/>
      <c r="C80" s="5"/>
      <c r="D80" s="5"/>
      <c r="E80" s="5"/>
      <c r="F80" s="5"/>
      <c r="G80" s="41">
        <f>(F75-0.001)*EXP($G$13)</f>
        <v>5.1780158413831101E-2</v>
      </c>
      <c r="H80" s="1"/>
      <c r="I80" s="1"/>
      <c r="J80" s="1"/>
      <c r="K80" s="1"/>
      <c r="L80" s="1"/>
      <c r="M80" s="2">
        <f>MIN($B$8,(100+$B$7)/(1+G$51+$D$9/10000))+$B$7</f>
        <v>104.62307372857001</v>
      </c>
    </row>
    <row r="81" spans="1:14" x14ac:dyDescent="0.35">
      <c r="A81" s="32"/>
      <c r="B81" s="5"/>
      <c r="C81" s="5"/>
      <c r="D81" s="5"/>
      <c r="E81" s="5"/>
      <c r="F81" s="5"/>
      <c r="G81" s="12">
        <f>F75*EXP($G$13)</f>
        <v>5.280783447317159E-2</v>
      </c>
      <c r="H81" s="40"/>
      <c r="I81" s="1"/>
      <c r="J81" s="1"/>
      <c r="K81" s="1"/>
      <c r="L81" s="1"/>
      <c r="M81" s="39"/>
    </row>
    <row r="82" spans="1:14" x14ac:dyDescent="0.35">
      <c r="A82" s="32"/>
      <c r="B82" s="5"/>
      <c r="C82" s="5"/>
      <c r="D82" s="5"/>
      <c r="E82" s="5"/>
      <c r="F82" s="5"/>
      <c r="G82" s="41">
        <f>(F76-$B$4)*EXP($G$13)</f>
        <v>5.0475325151341337E-2</v>
      </c>
      <c r="H82" s="40"/>
      <c r="I82" s="1"/>
      <c r="J82" s="1"/>
      <c r="K82" s="1"/>
      <c r="L82" s="1"/>
      <c r="M82" s="2">
        <f>MIN($B$8,(100+$B$7)/(1+G$51+$D$9/10000))+$B$7</f>
        <v>104.62307372857001</v>
      </c>
    </row>
    <row r="83" spans="1:14" x14ac:dyDescent="0.35">
      <c r="A83" s="32"/>
      <c r="B83" s="5"/>
      <c r="C83" s="5"/>
      <c r="D83" s="5"/>
      <c r="E83" s="5"/>
      <c r="F83" s="5"/>
      <c r="G83" s="12">
        <f>F76*EXP($G$13)</f>
        <v>5.2736212481890421E-2</v>
      </c>
      <c r="H83" s="40"/>
      <c r="I83" s="1"/>
      <c r="J83" s="1"/>
      <c r="K83" s="1"/>
      <c r="L83" s="1"/>
      <c r="M83" s="39"/>
    </row>
    <row r="84" spans="1:14" x14ac:dyDescent="0.35">
      <c r="A84" s="32"/>
      <c r="B84" s="5"/>
      <c r="C84" s="5"/>
      <c r="D84" s="5"/>
      <c r="E84" s="5"/>
      <c r="F84" s="5"/>
      <c r="G84" s="41">
        <f>(F77-$B$4)*EXP($G$13)</f>
        <v>5.2927502396363256E-2</v>
      </c>
      <c r="H84" s="40"/>
      <c r="I84" s="1"/>
      <c r="J84" s="1"/>
      <c r="K84" s="1"/>
      <c r="L84" s="1"/>
      <c r="M84" s="2">
        <f>MIN($B$8,(100+$B$7)/(1+G$51+$D$9/10000))+$B$7</f>
        <v>104.62307372857001</v>
      </c>
    </row>
    <row r="85" spans="1:14" x14ac:dyDescent="0.35">
      <c r="A85" s="32"/>
      <c r="B85" s="5"/>
      <c r="C85" s="5"/>
      <c r="D85" s="5"/>
      <c r="E85" s="5"/>
      <c r="F85" s="5"/>
      <c r="G85" s="12">
        <f>F77*EXP($G$13)</f>
        <v>5.518838972691234E-2</v>
      </c>
      <c r="H85" s="40"/>
      <c r="I85" s="1"/>
      <c r="J85" s="1"/>
      <c r="K85" s="1"/>
      <c r="L85" s="1"/>
      <c r="M85" s="39"/>
    </row>
    <row r="86" spans="1:14" x14ac:dyDescent="0.35">
      <c r="A86" s="21" t="s">
        <v>8</v>
      </c>
      <c r="B86" s="49">
        <v>1</v>
      </c>
      <c r="C86" s="17">
        <v>2</v>
      </c>
      <c r="D86" s="17">
        <v>3</v>
      </c>
      <c r="E86" s="17">
        <v>4</v>
      </c>
      <c r="F86" s="17">
        <v>5</v>
      </c>
      <c r="G86" s="17">
        <v>6</v>
      </c>
      <c r="H86" s="1"/>
      <c r="I86" s="1"/>
      <c r="J86" s="1"/>
      <c r="K86" s="1"/>
      <c r="L86" s="1"/>
      <c r="M86" s="1"/>
    </row>
    <row r="87" spans="1:14" x14ac:dyDescent="0.35">
      <c r="A87" s="21"/>
      <c r="B87" s="48"/>
      <c r="C87" s="18">
        <v>4.2665016612330783E-2</v>
      </c>
      <c r="D87" s="18">
        <v>3.795855619289145E-2</v>
      </c>
      <c r="E87" s="18">
        <v>3.2965928411652974E-2</v>
      </c>
      <c r="F87" s="18">
        <v>2.4569542456934341E-2</v>
      </c>
      <c r="G87" s="18">
        <v>2.7830855689794473E-2</v>
      </c>
      <c r="H87" s="4"/>
      <c r="I87" s="1"/>
      <c r="J87" s="1"/>
      <c r="K87" s="1"/>
      <c r="L87" s="1"/>
      <c r="M87" s="1"/>
    </row>
    <row r="88" spans="1:14" x14ac:dyDescent="0.35">
      <c r="A88" s="33" t="s">
        <v>18</v>
      </c>
      <c r="B88" s="9">
        <f t="shared" ref="B88:G88" si="5">B14-0.001</f>
        <v>4.8974429999999999E-2</v>
      </c>
      <c r="C88" s="9">
        <f t="shared" si="5"/>
        <v>5.1476559999999998E-2</v>
      </c>
      <c r="D88" s="9">
        <f t="shared" si="5"/>
        <v>5.2978770000000001E-2</v>
      </c>
      <c r="E88" s="9">
        <f t="shared" si="5"/>
        <v>5.1975436999999999E-2</v>
      </c>
      <c r="F88" s="9">
        <f t="shared" si="5"/>
        <v>5.4972986600000003E-2</v>
      </c>
      <c r="G88" s="9">
        <f t="shared" si="5"/>
        <v>5.1972699999999997E-2</v>
      </c>
      <c r="H88" s="1"/>
      <c r="I88" s="1"/>
      <c r="J88" s="1"/>
      <c r="K88" s="1"/>
      <c r="L88" s="1"/>
      <c r="M88" s="1"/>
    </row>
    <row r="89" spans="1:14" x14ac:dyDescent="0.35">
      <c r="A89" s="31" t="s">
        <v>0</v>
      </c>
      <c r="B89" s="10">
        <f t="shared" ref="B89:G89" si="6">1/(1+B88)^B13</f>
        <v>0.99877816982152223</v>
      </c>
      <c r="C89" s="10">
        <f t="shared" si="6"/>
        <v>0.99882411116238257</v>
      </c>
      <c r="D89" s="10">
        <f t="shared" si="6"/>
        <v>0.99890464253436861</v>
      </c>
      <c r="E89" s="10">
        <f t="shared" si="6"/>
        <v>0.99875617275294837</v>
      </c>
      <c r="F89" s="10">
        <f t="shared" si="6"/>
        <v>0.99855541795142644</v>
      </c>
      <c r="G89" s="10">
        <f t="shared" si="6"/>
        <v>0.99861774263790026</v>
      </c>
      <c r="H89" s="1"/>
      <c r="I89" s="1"/>
      <c r="J89" s="1"/>
      <c r="K89" s="1"/>
      <c r="L89" s="1"/>
    </row>
    <row r="90" spans="1:14" x14ac:dyDescent="0.35">
      <c r="A90" s="32"/>
      <c r="B90" s="5"/>
      <c r="C90" s="5"/>
      <c r="D90" s="5"/>
      <c r="E90" s="5"/>
      <c r="F90" s="5"/>
      <c r="G90" s="12">
        <f>F98*EXP($G$13)</f>
        <v>7.1503499548339094E-2</v>
      </c>
      <c r="H90" s="40"/>
      <c r="I90" s="1"/>
      <c r="J90" s="1"/>
      <c r="K90" s="1"/>
      <c r="L90" s="1"/>
      <c r="M90" s="39"/>
      <c r="N90" s="1"/>
    </row>
    <row r="91" spans="1:14" x14ac:dyDescent="0.35">
      <c r="A91" s="32"/>
      <c r="B91" s="5"/>
      <c r="C91" s="5"/>
      <c r="D91" s="5"/>
      <c r="E91" s="5"/>
      <c r="F91" s="5"/>
      <c r="G91" s="20">
        <f>(F98+$B$4)*EXP($G$13)</f>
        <v>7.3764386878888172E-2</v>
      </c>
      <c r="H91" s="40"/>
      <c r="I91" s="1"/>
      <c r="J91" s="1"/>
      <c r="K91" s="1"/>
      <c r="L91" s="1"/>
      <c r="M91" s="2">
        <f>MIN($B$8,(100+$B$7)/(1+G$88+$D$9/10000))+$B$7</f>
        <v>104.81247612224156</v>
      </c>
      <c r="N91" s="1"/>
    </row>
    <row r="92" spans="1:14" x14ac:dyDescent="0.35">
      <c r="A92" s="32"/>
      <c r="B92" s="5"/>
      <c r="C92" s="5"/>
      <c r="D92" s="5"/>
      <c r="E92" s="5"/>
      <c r="F92" s="5"/>
      <c r="G92" s="12">
        <f>F99*EXP($G$13)</f>
        <v>7.382629352265184E-2</v>
      </c>
      <c r="H92" s="40"/>
      <c r="I92" s="1"/>
      <c r="J92" s="1"/>
      <c r="K92" s="1"/>
      <c r="L92" s="1"/>
      <c r="M92" s="39"/>
      <c r="N92" s="1"/>
    </row>
    <row r="93" spans="1:14" x14ac:dyDescent="0.35">
      <c r="A93" s="32"/>
      <c r="B93" s="5"/>
      <c r="C93" s="5"/>
      <c r="D93" s="5"/>
      <c r="E93" s="5"/>
      <c r="F93" s="5"/>
      <c r="G93" s="20">
        <f>(F99+$B$4)*EXP($G$13)</f>
        <v>7.6087180853200917E-2</v>
      </c>
      <c r="H93" s="40"/>
      <c r="I93" s="1"/>
      <c r="J93" s="1"/>
      <c r="K93" s="1"/>
      <c r="L93" s="1"/>
      <c r="M93" s="2">
        <f>MIN($B$8,(100+$B$7)/(1+G$88+$D$9/10000))+$B$7</f>
        <v>104.81247612224156</v>
      </c>
      <c r="N93" s="1"/>
    </row>
    <row r="94" spans="1:14" x14ac:dyDescent="0.35">
      <c r="A94" s="32"/>
      <c r="B94" s="5"/>
      <c r="C94" s="5"/>
      <c r="D94" s="5"/>
      <c r="E94" s="5"/>
      <c r="F94" s="5"/>
      <c r="G94" s="12">
        <f>F100*EXP($G$13)</f>
        <v>7.3884054802079852E-2</v>
      </c>
      <c r="H94" s="40"/>
      <c r="I94" s="1"/>
      <c r="J94" s="1"/>
      <c r="K94" s="1"/>
      <c r="L94" s="1"/>
      <c r="M94" s="39"/>
      <c r="N94" s="1"/>
    </row>
    <row r="95" spans="1:14" x14ac:dyDescent="0.35">
      <c r="A95" s="32"/>
      <c r="B95" s="5"/>
      <c r="C95" s="5"/>
      <c r="D95" s="5"/>
      <c r="E95" s="5"/>
      <c r="F95" s="5"/>
      <c r="G95" s="20">
        <f>(F100+$B$4)*EXP($G$13)</f>
        <v>7.6144942132628929E-2</v>
      </c>
      <c r="H95" s="40"/>
      <c r="I95" s="1"/>
      <c r="J95" s="1"/>
      <c r="K95" s="1"/>
      <c r="L95" s="1"/>
      <c r="M95" s="2">
        <f>MIN($B$8,(100+$B$7)/(1+G$88+$D$9/10000))+$B$7</f>
        <v>104.81247612224156</v>
      </c>
      <c r="N95" s="1"/>
    </row>
    <row r="96" spans="1:14" x14ac:dyDescent="0.35">
      <c r="A96" s="6"/>
      <c r="B96" s="5"/>
      <c r="C96" s="5"/>
      <c r="D96" s="5"/>
      <c r="E96" s="5"/>
      <c r="F96" s="5"/>
      <c r="G96" s="12">
        <f>F101*EXP($G$13)</f>
        <v>7.6206848776392597E-2</v>
      </c>
      <c r="H96" s="40"/>
      <c r="I96" s="1"/>
      <c r="J96" s="1"/>
      <c r="K96" s="1"/>
      <c r="L96" s="1"/>
      <c r="M96" s="39"/>
    </row>
    <row r="97" spans="1:14" x14ac:dyDescent="0.35">
      <c r="A97" s="32"/>
      <c r="B97" s="5"/>
      <c r="C97" s="5"/>
      <c r="D97" s="5"/>
      <c r="E97" s="5"/>
      <c r="F97" s="5"/>
      <c r="G97" s="20">
        <f>(F101+$B$4)*EXP($G$13)</f>
        <v>7.8467736106941674E-2</v>
      </c>
      <c r="H97" s="38"/>
      <c r="I97" s="39"/>
      <c r="J97" s="39"/>
      <c r="K97" s="39"/>
      <c r="L97" s="39"/>
      <c r="M97" s="2">
        <f>MIN($B$8,(100+$B$7)/(1+G$88+$D$9/10000))+$B$7</f>
        <v>104.81247612224156</v>
      </c>
      <c r="N97" s="1"/>
    </row>
    <row r="98" spans="1:14" x14ac:dyDescent="0.35">
      <c r="A98" s="32"/>
      <c r="B98" s="5"/>
      <c r="C98" s="5"/>
      <c r="D98" s="5"/>
      <c r="E98" s="5"/>
      <c r="F98" s="12">
        <f>E102*EXP($F$13)</f>
        <v>6.9577858604808002E-2</v>
      </c>
      <c r="G98" s="12">
        <f>F102*EXP($G$13)</f>
        <v>7.6315689534018016E-2</v>
      </c>
      <c r="H98" s="1"/>
      <c r="I98" s="39"/>
      <c r="J98" s="39"/>
      <c r="K98" s="39"/>
      <c r="L98" s="2">
        <f>MIN($B$8,AVERAGE(M91:M93)/(1+F98+$D$9/10000))+$B$7</f>
        <v>102.99424630850376</v>
      </c>
      <c r="M98" s="39"/>
      <c r="N98" s="1"/>
    </row>
    <row r="99" spans="1:14" x14ac:dyDescent="0.35">
      <c r="A99" s="32"/>
      <c r="B99" s="5"/>
      <c r="C99" s="5"/>
      <c r="D99" s="5"/>
      <c r="E99" s="5"/>
      <c r="F99" s="20">
        <f>(E102+$B$4)*EXP($F$13)</f>
        <v>7.1838098057893429E-2</v>
      </c>
      <c r="G99" s="20">
        <f>(F102+$B$4)*EXP($G$13)</f>
        <v>7.8576576864567094E-2</v>
      </c>
      <c r="H99" s="1"/>
      <c r="I99" s="1"/>
      <c r="J99" s="39"/>
      <c r="K99" s="39"/>
      <c r="L99" s="39"/>
      <c r="M99" s="2">
        <f>MIN($B$8,(100+$B$7)/(1+G$88+$D$9/10000))+$B$7</f>
        <v>104.81247612224156</v>
      </c>
      <c r="N99" s="1"/>
    </row>
    <row r="100" spans="1:14" x14ac:dyDescent="0.35">
      <c r="A100" s="32"/>
      <c r="B100" s="5"/>
      <c r="C100" s="5"/>
      <c r="D100" s="5"/>
      <c r="E100" s="5"/>
      <c r="F100" s="12">
        <f>E103*EXP($F$13)</f>
        <v>7.1894303784302074E-2</v>
      </c>
      <c r="G100" s="12">
        <f>F103*EXP($G$13)</f>
        <v>7.8638483508330734E-2</v>
      </c>
      <c r="H100" s="1"/>
      <c r="I100" s="1"/>
      <c r="J100" s="1"/>
      <c r="K100" s="39"/>
      <c r="L100" s="2">
        <f>MIN($B$8,AVERAGE(M93:M95)/(1+F100+$D$9/10000))+$B$7</f>
        <v>102.78247328323619</v>
      </c>
      <c r="M100" s="39"/>
      <c r="N100" s="1"/>
    </row>
    <row r="101" spans="1:14" x14ac:dyDescent="0.35">
      <c r="A101" s="32"/>
      <c r="B101" s="5"/>
      <c r="C101" s="5"/>
      <c r="D101" s="5"/>
      <c r="E101" s="5"/>
      <c r="F101" s="20">
        <f>(E103+$B$4)*EXP($F$13)</f>
        <v>7.4154543237387502E-2</v>
      </c>
      <c r="G101" s="20">
        <f>(F103+$B$4)*EXP($G$13)</f>
        <v>8.0899370838879825E-2</v>
      </c>
      <c r="H101" s="1"/>
      <c r="I101" s="1"/>
      <c r="J101" s="1"/>
      <c r="K101" s="2">
        <f>MIN($B$8,AVERAGE(L98:L100)/(1+E102+$D$9/10000))+$B$7</f>
        <v>101.36236479004225</v>
      </c>
      <c r="L101" s="39"/>
      <c r="M101" s="2">
        <f>MIN($B$8,(100+$B$7)/(1+G$88+$D$9/10000))+$B$7</f>
        <v>104.81247612224156</v>
      </c>
      <c r="N101" s="1"/>
    </row>
    <row r="102" spans="1:14" x14ac:dyDescent="0.35">
      <c r="A102" s="32"/>
      <c r="B102" s="5"/>
      <c r="C102" s="5"/>
      <c r="D102" s="5"/>
      <c r="E102" s="12">
        <f>D103*EXP($E$13)</f>
        <v>6.7723483333423776E-2</v>
      </c>
      <c r="F102" s="12">
        <f>E104*EXP($F$13)</f>
        <v>7.4260452834712623E-2</v>
      </c>
      <c r="G102" s="12">
        <f>F104*EXP($G$13)</f>
        <v>7.6257928254590004E-2</v>
      </c>
      <c r="H102" s="1"/>
      <c r="I102" s="1"/>
      <c r="J102" s="1"/>
      <c r="K102" s="39"/>
      <c r="L102" s="2">
        <f>MIN($B$8,AVERAGE(M95:M97)/(1+F102+$D$9/10000))+$B$7</f>
        <v>102.56709915706836</v>
      </c>
      <c r="M102" s="39"/>
      <c r="N102" s="1"/>
    </row>
    <row r="103" spans="1:14" x14ac:dyDescent="0.35">
      <c r="A103" s="6"/>
      <c r="B103" s="5"/>
      <c r="C103" s="5"/>
      <c r="D103" s="12">
        <f>C105*EXP($D$13)</f>
        <v>6.6080255335034074E-2</v>
      </c>
      <c r="E103" s="20">
        <f>(D103+$B$4)*EXP($E$13)</f>
        <v>6.9978191075973015E-2</v>
      </c>
      <c r="F103" s="20">
        <f>(E104+$B$4)*EXP($F$13)</f>
        <v>7.6520692287798037E-2</v>
      </c>
      <c r="G103" s="20">
        <f>(F104+$B$4)*EXP($G$13)</f>
        <v>7.8518815585139082E-2</v>
      </c>
      <c r="H103" s="1"/>
      <c r="I103" s="1"/>
      <c r="J103" s="1"/>
      <c r="K103" s="2">
        <f>MIN($B$8,AVERAGE(L102:L105)/(1+E105+$D$9/10000))+$B$7</f>
        <v>100.95324273928625</v>
      </c>
      <c r="L103" s="39"/>
      <c r="M103" s="2">
        <f>MIN($B$8,(100+$B$7)/(1+G$88+$D$9/10000))+$B$7</f>
        <v>104.81247612224156</v>
      </c>
    </row>
    <row r="104" spans="1:14" x14ac:dyDescent="0.35">
      <c r="A104" s="32"/>
      <c r="B104" s="5"/>
      <c r="C104" s="5"/>
      <c r="D104" s="20">
        <f>(C105+$B$4)*EXP($D$13)</f>
        <v>6.8327460646424226E-2</v>
      </c>
      <c r="E104" s="20">
        <f>(D104+$B$4)*EXP($E$13)</f>
        <v>7.2281277991740805E-2</v>
      </c>
      <c r="F104" s="20">
        <f>(E105+$B$4)*EXP($F$13)</f>
        <v>7.4204247108303978E-2</v>
      </c>
      <c r="G104" s="20">
        <f>(F105+$B$4)*EXP($G$13)</f>
        <v>7.6196021610826351E-2</v>
      </c>
      <c r="H104" s="40"/>
      <c r="I104" s="1"/>
      <c r="J104" s="2">
        <f>MIN($B$8,AVERAGE(K101:K103)/(1+D104+$D$9/10000))+$B$7</f>
        <v>99.688012328594112</v>
      </c>
      <c r="K104" s="39"/>
      <c r="L104" s="39"/>
      <c r="M104" s="39"/>
      <c r="N104" s="1"/>
    </row>
    <row r="105" spans="1:14" x14ac:dyDescent="0.35">
      <c r="A105" s="32"/>
      <c r="B105" s="5"/>
      <c r="C105" s="20">
        <f>(B106+$B$4)*EXP($C$13*10)</f>
        <v>6.4692158300009794E-2</v>
      </c>
      <c r="D105" s="5"/>
      <c r="E105" s="12">
        <f>D104*EXP($E$13)</f>
        <v>7.002657024919158E-2</v>
      </c>
      <c r="F105" s="12">
        <f>E105*EXP($F$13)</f>
        <v>7.1944007655218564E-2</v>
      </c>
      <c r="G105" s="12">
        <f>F105*EXP($G$13)</f>
        <v>7.3935134280277273E-2</v>
      </c>
      <c r="H105" s="40"/>
      <c r="I105" s="2">
        <f>MIN($B$8,AVERAGE(J104:J104)/(1+C105+$D$9/10000))+$B$7</f>
        <v>98.630831739914015</v>
      </c>
      <c r="J105" s="39"/>
      <c r="K105" s="39"/>
      <c r="L105" s="2">
        <f>MIN($B$8,AVERAGE(M98:M100)/(1+F105+$D$9/10000))+$B$7</f>
        <v>102.77793930814489</v>
      </c>
      <c r="M105" s="2">
        <f>MIN($B$8,(100+$B$7)/(1+G$88+$D$9/10000))+$B$7</f>
        <v>104.81247612224156</v>
      </c>
      <c r="N105" s="1"/>
    </row>
    <row r="106" spans="1:14" x14ac:dyDescent="0.35">
      <c r="A106" s="32"/>
      <c r="B106" s="12">
        <f>B88</f>
        <v>4.8974429999999999E-2</v>
      </c>
      <c r="C106" s="37"/>
      <c r="D106" s="5"/>
      <c r="E106" s="5"/>
      <c r="F106" s="5"/>
      <c r="G106" s="5"/>
      <c r="H106" s="3" t="e">
        <f>AVERAGE(I106:I107)/(1+B106+$G$5/10000)</f>
        <v>#VALUE!</v>
      </c>
      <c r="I106" s="1"/>
      <c r="J106" s="1"/>
      <c r="K106" s="1"/>
      <c r="L106" s="1"/>
      <c r="M106" s="1"/>
      <c r="N106" s="1"/>
    </row>
    <row r="107" spans="1:14" x14ac:dyDescent="0.35">
      <c r="A107" s="32"/>
      <c r="B107" s="5"/>
      <c r="C107" s="41">
        <f>(B106-$B$4)*EXP($C$13)</f>
        <v>4.7883773351198575E-2</v>
      </c>
      <c r="D107" s="5"/>
      <c r="E107" s="12">
        <f>D108*EXP($E$13)</f>
        <v>4.7824409394567037E-2</v>
      </c>
      <c r="F107" s="12">
        <f>E107*EXP($F$13)</f>
        <v>4.9133916788231653E-2</v>
      </c>
      <c r="G107" s="12">
        <f>F107*EXP($G$13)</f>
        <v>5.0493749984893595E-2</v>
      </c>
      <c r="H107" s="40"/>
      <c r="I107" s="2">
        <f>MIN($B$8,AVERAGE(J108:J108)/(1+C107+$D$9/10000))+$B$7</f>
        <v>105.30478161427837</v>
      </c>
      <c r="J107" s="39"/>
      <c r="K107" s="39"/>
      <c r="L107" s="2">
        <f>MIN($B$8,AVERAGE(M100:M102)/(1+F107+$D$9/10000))+$B$7</f>
        <v>104.9038106051413</v>
      </c>
      <c r="M107" s="2">
        <f>MIN($B$8,(100+$B$7)/(1+G$88+$D$9/10000))+$B$7</f>
        <v>104.81247612224156</v>
      </c>
      <c r="N107" s="1"/>
    </row>
    <row r="108" spans="1:14" x14ac:dyDescent="0.35">
      <c r="A108" s="32"/>
      <c r="B108" s="5"/>
      <c r="C108" s="5"/>
      <c r="D108" s="42">
        <f>(C107-$B$4)*EXP($D$13)</f>
        <v>4.6664008235980749E-2</v>
      </c>
      <c r="E108" s="41">
        <f>(D108-$B$4)*EXP($E$13)</f>
        <v>4.5569701652017791E-2</v>
      </c>
      <c r="F108" s="41">
        <f>(E107-$B$4)*EXP($E$13)</f>
        <v>4.6758958686893982E-2</v>
      </c>
      <c r="G108" s="41">
        <f>(F107-$B$4)*EXP($G$13)</f>
        <v>4.823286265434451E-2</v>
      </c>
      <c r="H108" s="40"/>
      <c r="I108" s="1"/>
      <c r="J108" s="2">
        <f>MIN($B$8,AVERAGE(K109:K111)/(1+D109+$D$9/10000))+$B$7</f>
        <v>105.10775304313795</v>
      </c>
      <c r="K108" s="39"/>
      <c r="L108" s="39"/>
      <c r="M108" s="39"/>
      <c r="N108" s="1"/>
    </row>
    <row r="109" spans="1:14" x14ac:dyDescent="0.35">
      <c r="A109" s="32"/>
      <c r="B109" s="5"/>
      <c r="C109" s="5"/>
      <c r="D109" s="12">
        <f>C107*EXP($D$13)</f>
        <v>4.8911213547370908E-2</v>
      </c>
      <c r="E109" s="41">
        <f>(D109-$B$4)*EXP($E$13)</f>
        <v>4.7872788567785596E-2</v>
      </c>
      <c r="F109" s="41">
        <f>(E108-$B$4)*EXP($E$13)</f>
        <v>4.4448182775843295E-2</v>
      </c>
      <c r="G109" s="41">
        <f>(F108-$B$4)*EXP($G$13)</f>
        <v>4.5792175071663034E-2</v>
      </c>
      <c r="H109" s="40"/>
      <c r="I109" s="1"/>
      <c r="J109" s="1"/>
      <c r="K109" s="2">
        <f>MIN($B$8,AVERAGE(L107:L110)/(1+E107+$D$9/10000))+$B$7</f>
        <v>105.22132096296228</v>
      </c>
      <c r="L109" s="39"/>
      <c r="M109" s="2">
        <f>MIN($B$8,(100+$B$7)/(1+G$88+$D$9/10000))+$B$7</f>
        <v>104.81247612224156</v>
      </c>
      <c r="N109" s="1"/>
    </row>
    <row r="110" spans="1:14" x14ac:dyDescent="0.35">
      <c r="A110" s="6"/>
      <c r="B110" s="5"/>
      <c r="C110" s="5"/>
      <c r="D110" s="5"/>
      <c r="E110" s="12">
        <f>D109*EXP($E$13)</f>
        <v>5.0127496310334842E-2</v>
      </c>
      <c r="F110" s="12">
        <f>E108*EXP($F$13)</f>
        <v>4.6817471608737574E-2</v>
      </c>
      <c r="G110" s="12">
        <f>F108*EXP($G$13)</f>
        <v>4.8053062402212118E-2</v>
      </c>
      <c r="H110" s="40"/>
      <c r="I110" s="1"/>
      <c r="J110" s="1"/>
      <c r="K110" s="39"/>
      <c r="L110" s="2">
        <f>MIN($B$8,AVERAGE(M103:M105)/(1+F110+$D$9/10000))+$B$7</f>
        <v>105.12488228837728</v>
      </c>
      <c r="M110" s="39"/>
    </row>
    <row r="111" spans="1:14" x14ac:dyDescent="0.35">
      <c r="A111" s="32"/>
      <c r="B111" s="5"/>
      <c r="C111" s="5"/>
      <c r="D111" s="5"/>
      <c r="E111" s="5"/>
      <c r="F111" s="41">
        <f>(E109-$B$4)*EXP($E$13)</f>
        <v>4.6808540912545805E-2</v>
      </c>
      <c r="G111" s="41">
        <f>(F109-$B$4)*EXP($G$13)</f>
        <v>4.3417445989375525E-2</v>
      </c>
      <c r="H111" s="38"/>
      <c r="I111" s="39"/>
      <c r="J111" s="39"/>
      <c r="K111" s="2">
        <f>MIN($B$8,AVERAGE(L112:L114)/(1+E110+$D$9/10000))+$B$7</f>
        <v>104.78696849699439</v>
      </c>
      <c r="L111" s="39"/>
      <c r="M111" s="2">
        <f>MIN($B$8,(100+$B$7)/(1+G$88+$D$9/10000))+$B$7</f>
        <v>104.81247612224156</v>
      </c>
      <c r="N111" s="1"/>
    </row>
    <row r="112" spans="1:14" x14ac:dyDescent="0.35">
      <c r="A112" s="32"/>
      <c r="B112" s="5"/>
      <c r="C112" s="5"/>
      <c r="D112" s="5"/>
      <c r="E112" s="5"/>
      <c r="F112" s="12">
        <f>E109*EXP($F$13)</f>
        <v>4.9183620659148122E-2</v>
      </c>
      <c r="G112" s="12">
        <f>F109*EXP($G$13)</f>
        <v>4.5678333319924616E-2</v>
      </c>
      <c r="H112" s="1"/>
      <c r="I112" s="39"/>
      <c r="J112" s="39"/>
      <c r="K112" s="39"/>
      <c r="L112" s="2">
        <f>MIN($B$8,AVERAGE(M105:M107)/(1+F112+$D$9/10000))+$B$7</f>
        <v>104.89907777667486</v>
      </c>
      <c r="M112" s="39"/>
      <c r="N112" s="1"/>
    </row>
    <row r="113" spans="1:14" x14ac:dyDescent="0.35">
      <c r="A113" s="32"/>
      <c r="B113" s="5"/>
      <c r="C113" s="5"/>
      <c r="D113" s="5"/>
      <c r="E113" s="5"/>
      <c r="F113" s="41">
        <f>(E110-$B$4)*EXP($E$13)</f>
        <v>4.9119316823596493E-2</v>
      </c>
      <c r="G113" s="41">
        <f>(F110-$B$4)*EXP($G$13)</f>
        <v>4.5852307400603753E-2</v>
      </c>
      <c r="H113" s="1"/>
      <c r="I113" s="1"/>
      <c r="J113" s="39"/>
      <c r="K113" s="39"/>
      <c r="L113" s="39"/>
      <c r="M113" s="2">
        <f>MIN($B$8,(100+$B$7)/(1+G$88+$D$9/10000))+$B$7</f>
        <v>104.81247612224156</v>
      </c>
      <c r="N113" s="1"/>
    </row>
    <row r="114" spans="1:14" x14ac:dyDescent="0.35">
      <c r="A114" s="32"/>
      <c r="B114" s="5"/>
      <c r="C114" s="5"/>
      <c r="D114" s="5"/>
      <c r="E114" s="5"/>
      <c r="F114" s="12">
        <f>E110*EXP($F$13)</f>
        <v>5.1500065838642209E-2</v>
      </c>
      <c r="G114" s="12">
        <f>F110*EXP($G$13)</f>
        <v>4.8113194731152838E-2</v>
      </c>
      <c r="H114" s="1"/>
      <c r="I114" s="1"/>
      <c r="J114" s="1"/>
      <c r="K114" s="39"/>
      <c r="L114" s="2">
        <f>MIN($B$8,AVERAGE(M107:M109)/(1+F114+$D$9/10000))+$B$7</f>
        <v>104.67900100761909</v>
      </c>
      <c r="M114" s="39"/>
      <c r="N114" s="1"/>
    </row>
    <row r="115" spans="1:14" x14ac:dyDescent="0.35">
      <c r="A115" s="32"/>
      <c r="B115" s="5"/>
      <c r="C115" s="5"/>
      <c r="D115" s="5"/>
      <c r="E115" s="5"/>
      <c r="F115" s="5"/>
      <c r="G115" s="41">
        <f>(F111-$B$4)*EXP($G$13)</f>
        <v>4.5843129537934235E-2</v>
      </c>
      <c r="H115" s="1"/>
      <c r="I115" s="1"/>
      <c r="J115" s="1"/>
      <c r="K115" s="1"/>
      <c r="L115" s="39"/>
      <c r="M115" s="2">
        <f>MIN($B$8,(100+$B$7)/(1+G$88+$D$9/10000))+$B$7</f>
        <v>104.81247612224156</v>
      </c>
      <c r="N115" s="1"/>
    </row>
    <row r="116" spans="1:14" x14ac:dyDescent="0.35">
      <c r="A116" s="32"/>
      <c r="B116" s="5"/>
      <c r="C116" s="5"/>
      <c r="D116" s="5"/>
      <c r="E116" s="5"/>
      <c r="F116" s="5"/>
      <c r="G116" s="12">
        <f>F111*EXP($G$13)</f>
        <v>4.8104016868483319E-2</v>
      </c>
      <c r="H116" s="1"/>
      <c r="I116" s="1"/>
      <c r="J116" s="1"/>
      <c r="K116" s="1"/>
      <c r="L116" s="1"/>
      <c r="M116" s="39"/>
      <c r="N116" s="1"/>
    </row>
    <row r="117" spans="1:14" x14ac:dyDescent="0.35">
      <c r="A117" s="6"/>
      <c r="B117" s="5"/>
      <c r="C117" s="5"/>
      <c r="D117" s="5"/>
      <c r="E117" s="5"/>
      <c r="F117" s="5"/>
      <c r="G117" s="41">
        <f>(F112-0.001)*EXP($G$13)</f>
        <v>4.9517153403750507E-2</v>
      </c>
      <c r="H117" s="1"/>
      <c r="I117" s="1"/>
      <c r="J117" s="1"/>
      <c r="K117" s="1"/>
      <c r="L117" s="1"/>
      <c r="M117" s="2">
        <f>MIN($B$8,(100+$B$7)/(1+G$88+$D$9/10000))+$B$7</f>
        <v>104.81247612224156</v>
      </c>
    </row>
    <row r="118" spans="1:14" x14ac:dyDescent="0.35">
      <c r="A118" s="32"/>
      <c r="B118" s="5"/>
      <c r="C118" s="5"/>
      <c r="D118" s="5"/>
      <c r="E118" s="5"/>
      <c r="F118" s="5"/>
      <c r="G118" s="12">
        <f>F112*EXP($G$13)</f>
        <v>5.0544829463091002E-2</v>
      </c>
      <c r="H118" s="40"/>
      <c r="I118" s="1"/>
      <c r="J118" s="1"/>
      <c r="K118" s="1"/>
      <c r="L118" s="1"/>
      <c r="M118" s="39"/>
      <c r="N118" s="1"/>
    </row>
    <row r="119" spans="1:14" x14ac:dyDescent="0.35">
      <c r="A119" s="32"/>
      <c r="B119" s="5"/>
      <c r="C119" s="5"/>
      <c r="D119" s="5"/>
      <c r="E119" s="5"/>
      <c r="F119" s="5"/>
      <c r="G119" s="41">
        <f>(F113-$B$4)*EXP($G$13)</f>
        <v>4.8217858620221737E-2</v>
      </c>
      <c r="H119" s="40"/>
      <c r="I119" s="1"/>
      <c r="J119" s="1"/>
      <c r="K119" s="1"/>
      <c r="L119" s="1"/>
      <c r="M119" s="2">
        <f>MIN($B$8,(100+$B$7)/(1+G$88+$D$9/10000))+$B$7</f>
        <v>104.81247612224156</v>
      </c>
      <c r="N119" s="1"/>
    </row>
    <row r="120" spans="1:14" x14ac:dyDescent="0.35">
      <c r="A120" s="32"/>
      <c r="B120" s="5"/>
      <c r="C120" s="5"/>
      <c r="D120" s="5"/>
      <c r="E120" s="5"/>
      <c r="F120" s="5"/>
      <c r="G120" s="12">
        <f>F113*EXP($G$13)</f>
        <v>5.0478745950770829E-2</v>
      </c>
      <c r="H120" s="40"/>
      <c r="I120" s="1"/>
      <c r="J120" s="1"/>
      <c r="K120" s="1"/>
      <c r="L120" s="1"/>
      <c r="M120" s="39"/>
      <c r="N120" s="1"/>
    </row>
    <row r="121" spans="1:14" x14ac:dyDescent="0.35">
      <c r="A121" s="32"/>
      <c r="B121" s="5"/>
      <c r="C121" s="5"/>
      <c r="D121" s="5"/>
      <c r="E121" s="5"/>
      <c r="F121" s="5"/>
      <c r="G121" s="41">
        <f>(F114-$B$4)*EXP($G$13)</f>
        <v>5.0664497386282682E-2</v>
      </c>
      <c r="H121" s="40"/>
      <c r="I121" s="1"/>
      <c r="J121" s="1"/>
      <c r="K121" s="1"/>
      <c r="L121" s="1"/>
      <c r="M121" s="2">
        <f>MIN($B$8,(100+$B$7)/(1+G$88+$D$9/10000))+$B$7</f>
        <v>104.81247612224156</v>
      </c>
      <c r="N121" s="1"/>
    </row>
    <row r="122" spans="1:14" x14ac:dyDescent="0.35">
      <c r="A122" s="32"/>
      <c r="B122" s="5"/>
      <c r="C122" s="5"/>
      <c r="D122" s="5"/>
      <c r="E122" s="5"/>
      <c r="F122" s="5"/>
      <c r="G122" s="12">
        <f>F114*EXP($G$13)</f>
        <v>5.2925384716831766E-2</v>
      </c>
      <c r="H122" s="40"/>
      <c r="I122" s="1"/>
      <c r="J122" s="1"/>
      <c r="K122" s="1"/>
      <c r="L122" s="1"/>
      <c r="M122" s="39"/>
      <c r="N122" s="1"/>
    </row>
    <row r="123" spans="1:14" x14ac:dyDescent="0.35">
      <c r="A123" s="21" t="s">
        <v>8</v>
      </c>
      <c r="B123" s="21">
        <v>1</v>
      </c>
      <c r="C123" s="17">
        <v>2</v>
      </c>
      <c r="D123" s="17">
        <v>3</v>
      </c>
      <c r="E123" s="17">
        <v>4</v>
      </c>
      <c r="F123" s="17">
        <v>5</v>
      </c>
      <c r="G123" s="17">
        <v>6</v>
      </c>
      <c r="H123" s="1"/>
      <c r="I123" s="1"/>
      <c r="J123" s="1"/>
      <c r="K123" s="1"/>
      <c r="L123" s="1"/>
      <c r="M123" s="1"/>
    </row>
    <row r="124" spans="1:14" x14ac:dyDescent="0.35">
      <c r="A124" s="29" t="s">
        <v>11</v>
      </c>
      <c r="B124" s="22">
        <f t="shared" ref="B124:G124" si="7">B13+0.01</f>
        <v>3.5569999999999997E-2</v>
      </c>
      <c r="C124" s="22">
        <f t="shared" si="7"/>
        <v>3.3439999999999998E-2</v>
      </c>
      <c r="D124" s="22">
        <f t="shared" si="7"/>
        <v>3.1230000000000001E-2</v>
      </c>
      <c r="E124" s="22">
        <f t="shared" si="7"/>
        <v>3.4563000000000003E-2</v>
      </c>
      <c r="F124" s="22">
        <f t="shared" si="7"/>
        <v>3.7013400000000002E-2</v>
      </c>
      <c r="G124" s="22">
        <f t="shared" si="7"/>
        <v>3.73E-2</v>
      </c>
      <c r="H124" s="1"/>
      <c r="I124" s="1"/>
      <c r="J124" s="1"/>
      <c r="K124" s="1"/>
      <c r="L124" s="1"/>
      <c r="M124" s="1"/>
    </row>
    <row r="125" spans="1:14" ht="15" thickBot="1" x14ac:dyDescent="0.4">
      <c r="A125" s="34" t="s">
        <v>12</v>
      </c>
      <c r="B125" s="23"/>
      <c r="C125" s="24">
        <v>4.4239528164320502E-2</v>
      </c>
      <c r="D125" s="24">
        <v>3.9206080635796108E-2</v>
      </c>
      <c r="E125" s="24">
        <v>3.396195103219455E-2</v>
      </c>
      <c r="F125" s="24">
        <v>2.5367376324512848E-2</v>
      </c>
      <c r="G125" s="24">
        <v>2.8487785999571535E-2</v>
      </c>
      <c r="H125" s="1"/>
      <c r="I125" s="1"/>
      <c r="J125" s="1"/>
      <c r="K125" s="1"/>
      <c r="L125" s="1"/>
      <c r="M125" s="1"/>
    </row>
    <row r="126" spans="1:14" x14ac:dyDescent="0.35">
      <c r="A126" s="35"/>
      <c r="B126" s="8">
        <f t="shared" ref="B126:G126" si="8">B14</f>
        <v>4.997443E-2</v>
      </c>
      <c r="C126" s="8">
        <f t="shared" si="8"/>
        <v>5.2476559999999998E-2</v>
      </c>
      <c r="D126" s="8">
        <f t="shared" si="8"/>
        <v>5.3978770000000002E-2</v>
      </c>
      <c r="E126" s="8">
        <f t="shared" si="8"/>
        <v>5.2975437E-2</v>
      </c>
      <c r="F126" s="8">
        <f t="shared" si="8"/>
        <v>5.5972986600000003E-2</v>
      </c>
      <c r="G126" s="8">
        <f t="shared" si="8"/>
        <v>5.2972699999999998E-2</v>
      </c>
      <c r="H126" s="1"/>
      <c r="I126" s="1"/>
      <c r="J126" s="1"/>
      <c r="K126" s="1"/>
      <c r="L126" s="1"/>
    </row>
    <row r="127" spans="1:14" x14ac:dyDescent="0.35">
      <c r="A127" s="31" t="s">
        <v>0</v>
      </c>
      <c r="B127" s="10">
        <f t="shared" ref="B127:G127" si="9">1/(1+B126)^B13</f>
        <v>0.99875383530904016</v>
      </c>
      <c r="C127" s="10">
        <f t="shared" si="9"/>
        <v>0.99880185574435887</v>
      </c>
      <c r="D127" s="10">
        <f t="shared" si="9"/>
        <v>0.99888451252883204</v>
      </c>
      <c r="E127" s="10">
        <f t="shared" si="9"/>
        <v>0.9987328637401357</v>
      </c>
      <c r="F127" s="10">
        <f t="shared" si="9"/>
        <v>0.99852986160455248</v>
      </c>
      <c r="G127" s="10">
        <f t="shared" si="9"/>
        <v>0.99859183991106348</v>
      </c>
      <c r="H127" s="38"/>
      <c r="I127" s="39"/>
      <c r="J127" s="39"/>
      <c r="K127" s="39"/>
      <c r="L127" s="39"/>
      <c r="M127" s="39"/>
    </row>
    <row r="128" spans="1:14" x14ac:dyDescent="0.35">
      <c r="A128" s="11"/>
      <c r="B128" s="5"/>
      <c r="C128" s="5"/>
      <c r="D128" s="5"/>
      <c r="E128" s="5"/>
      <c r="F128" s="5"/>
      <c r="G128" s="12">
        <f>F136*EXP($G$13)</f>
        <v>7.2900750080457183E-2</v>
      </c>
      <c r="H128" s="1"/>
      <c r="I128" s="39"/>
      <c r="J128" s="39"/>
      <c r="K128" s="39"/>
      <c r="L128" s="39"/>
      <c r="M128" s="39"/>
    </row>
    <row r="129" spans="1:13" x14ac:dyDescent="0.35">
      <c r="A129" s="11"/>
      <c r="B129" s="5"/>
      <c r="C129" s="5"/>
      <c r="D129" s="5"/>
      <c r="E129" s="5"/>
      <c r="F129" s="5"/>
      <c r="G129" s="20">
        <f>(F136+$B$4)*EXP($G$13)</f>
        <v>7.516163741100626E-2</v>
      </c>
      <c r="H129" s="40"/>
      <c r="I129" s="1"/>
      <c r="J129" s="1"/>
      <c r="K129" s="1"/>
      <c r="L129" s="1"/>
      <c r="M129" s="2">
        <f>MIN($B$8,(100+$B$7)/(1+G$126+$D$9/10000))+$B$7</f>
        <v>104.71768498841423</v>
      </c>
    </row>
    <row r="130" spans="1:13" x14ac:dyDescent="0.35">
      <c r="A130" s="11"/>
      <c r="B130" s="5"/>
      <c r="C130" s="5"/>
      <c r="D130" s="5"/>
      <c r="E130" s="5"/>
      <c r="F130" s="5"/>
      <c r="G130" s="12">
        <f>F137*EXP($G$13)</f>
        <v>7.5223544054769928E-2</v>
      </c>
      <c r="H130" s="40"/>
      <c r="I130" s="1"/>
      <c r="J130" s="1"/>
      <c r="K130" s="1"/>
      <c r="L130" s="1"/>
      <c r="M130" s="39"/>
    </row>
    <row r="131" spans="1:13" x14ac:dyDescent="0.35">
      <c r="A131" s="11"/>
      <c r="B131" s="5"/>
      <c r="C131" s="5"/>
      <c r="D131" s="5"/>
      <c r="E131" s="5"/>
      <c r="F131" s="5"/>
      <c r="G131" s="20">
        <f>(F137+$B$4)*EXP($G$13)</f>
        <v>7.7484431385319005E-2</v>
      </c>
      <c r="H131" s="40"/>
      <c r="I131" s="1"/>
      <c r="J131" s="1"/>
      <c r="K131" s="1"/>
      <c r="L131" s="1"/>
      <c r="M131" s="2">
        <f>MIN($B$8,(100+$B$7)/(1+G$126+$D$9/10000))+$B$7</f>
        <v>104.71768498841423</v>
      </c>
    </row>
    <row r="132" spans="1:13" x14ac:dyDescent="0.35">
      <c r="A132" s="11"/>
      <c r="B132" s="5"/>
      <c r="C132" s="5"/>
      <c r="D132" s="5"/>
      <c r="E132" s="5"/>
      <c r="F132" s="5"/>
      <c r="G132" s="12">
        <f>F138*EXP($G$13)</f>
        <v>7.5281305334197954E-2</v>
      </c>
      <c r="H132" s="40"/>
      <c r="I132" s="1"/>
      <c r="J132" s="1"/>
      <c r="K132" s="1"/>
      <c r="L132" s="1"/>
      <c r="M132" s="39"/>
    </row>
    <row r="133" spans="1:13" x14ac:dyDescent="0.35">
      <c r="A133" s="11"/>
      <c r="B133" s="5"/>
      <c r="C133" s="5"/>
      <c r="D133" s="5"/>
      <c r="E133" s="5"/>
      <c r="F133" s="5"/>
      <c r="G133" s="20">
        <f>(F138+$B$4)*EXP($G$13)</f>
        <v>7.7542192664747031E-2</v>
      </c>
      <c r="H133" s="40"/>
      <c r="I133" s="1"/>
      <c r="J133" s="1"/>
      <c r="K133" s="1"/>
      <c r="L133" s="1"/>
      <c r="M133" s="2">
        <f>MIN($B$8,(100+$B$7)/(1+G$126+$D$9/10000))+$B$7</f>
        <v>104.71768498841423</v>
      </c>
    </row>
    <row r="134" spans="1:13" x14ac:dyDescent="0.35">
      <c r="A134" s="1"/>
      <c r="B134" s="5"/>
      <c r="C134" s="5"/>
      <c r="D134" s="5"/>
      <c r="E134" s="5"/>
      <c r="F134" s="5"/>
      <c r="G134" s="12">
        <f>F139*EXP($G$13)</f>
        <v>7.7604099308510671E-2</v>
      </c>
      <c r="H134" s="40"/>
      <c r="I134" s="1"/>
      <c r="J134" s="1"/>
      <c r="K134" s="1"/>
      <c r="L134" s="1"/>
      <c r="M134" s="39"/>
    </row>
    <row r="135" spans="1:13" x14ac:dyDescent="0.35">
      <c r="A135" s="1"/>
      <c r="B135" s="5"/>
      <c r="C135" s="5"/>
      <c r="D135" s="5"/>
      <c r="E135" s="5"/>
      <c r="F135" s="5"/>
      <c r="G135" s="20">
        <f>(F139+$B$4)*EXP($G$13)</f>
        <v>7.9864986639059762E-2</v>
      </c>
      <c r="H135" s="38"/>
      <c r="I135" s="39"/>
      <c r="J135" s="39"/>
      <c r="K135" s="39"/>
      <c r="L135" s="39"/>
      <c r="M135" s="2">
        <f>MIN($B$8,(100+$B$7)/(1+G$126+$D$9/10000))+$B$7</f>
        <v>104.71768498841423</v>
      </c>
    </row>
    <row r="136" spans="1:13" x14ac:dyDescent="0.35">
      <c r="A136" s="1"/>
      <c r="B136" s="5"/>
      <c r="C136" s="5"/>
      <c r="D136" s="5"/>
      <c r="E136" s="5"/>
      <c r="F136" s="12">
        <f>E140*EXP($F$13)</f>
        <v>7.0937480169812411E-2</v>
      </c>
      <c r="G136" s="12">
        <f>F140*EXP($G$13)</f>
        <v>7.7712940066136091E-2</v>
      </c>
      <c r="H136" s="1"/>
      <c r="I136" s="39"/>
      <c r="J136" s="39"/>
      <c r="K136" s="39"/>
      <c r="L136" s="2">
        <f>MIN($B$8,AVERAGE(M129:M131)/(1+F136+$D$9/10000))+$B$7</f>
        <v>102.7813242392168</v>
      </c>
      <c r="M136" s="39"/>
    </row>
    <row r="137" spans="1:13" x14ac:dyDescent="0.35">
      <c r="B137" s="5"/>
      <c r="C137" s="5"/>
      <c r="D137" s="5"/>
      <c r="E137" s="5"/>
      <c r="F137" s="20">
        <f>(E140+$B$4)*EXP($F$13)</f>
        <v>7.3197719622897839E-2</v>
      </c>
      <c r="G137" s="20">
        <f>(F140+$B$4)*EXP($G$13)</f>
        <v>7.9973827396685168E-2</v>
      </c>
      <c r="H137" s="1"/>
      <c r="I137" s="1"/>
      <c r="J137" s="39"/>
      <c r="K137" s="39"/>
      <c r="L137" s="39"/>
      <c r="M137" s="2">
        <f>MIN($B$8,(100+$B$7)/(1+G$126+$D$9/10000))+$B$7</f>
        <v>104.71768498841423</v>
      </c>
    </row>
    <row r="138" spans="1:13" x14ac:dyDescent="0.35">
      <c r="B138" s="5"/>
      <c r="C138" s="5"/>
      <c r="D138" s="5"/>
      <c r="E138" s="5"/>
      <c r="F138" s="12">
        <f>E141*EXP($F$13)</f>
        <v>7.3253925349306498E-2</v>
      </c>
      <c r="G138" s="12">
        <f>F141*EXP($G$13)</f>
        <v>8.0035734040448822E-2</v>
      </c>
      <c r="H138" s="1"/>
      <c r="I138" s="1"/>
      <c r="J138" s="1"/>
      <c r="K138" s="39"/>
      <c r="L138" s="2">
        <f>MIN($B$8,AVERAGE(M131:M133)/(1+F138+$D$9/10000))+$B$7</f>
        <v>102.57027905053532</v>
      </c>
      <c r="M138" s="39"/>
    </row>
    <row r="139" spans="1:13" x14ac:dyDescent="0.35">
      <c r="B139" s="5"/>
      <c r="C139" s="5"/>
      <c r="D139" s="5"/>
      <c r="E139" s="5"/>
      <c r="F139" s="20">
        <f>(E141+$B$4)*EXP($F$13)</f>
        <v>7.5514164802391912E-2</v>
      </c>
      <c r="G139" s="20">
        <f>(F141+$B$4)*EXP($G$13)</f>
        <v>8.2296621370997899E-2</v>
      </c>
      <c r="H139" s="1"/>
      <c r="I139" s="1"/>
      <c r="J139" s="1"/>
      <c r="K139" s="2">
        <f>MIN($B$8,AVERAGE(L136:L138)/(1+E140+$D$9/10000))+$B$7</f>
        <v>101.0442471391669</v>
      </c>
      <c r="L139" s="39"/>
      <c r="M139" s="2">
        <f>MIN($B$8,(100+$B$7)/(1+G$126+$D$9/10000))+$B$7</f>
        <v>104.71768498841423</v>
      </c>
    </row>
    <row r="140" spans="1:13" x14ac:dyDescent="0.35">
      <c r="B140" s="5"/>
      <c r="C140" s="5"/>
      <c r="D140" s="5"/>
      <c r="E140" s="12">
        <f>D141*EXP($E$13)</f>
        <v>6.9046868534459224E-2</v>
      </c>
      <c r="F140" s="12">
        <f>E142*EXP($F$13)</f>
        <v>7.5620074399717033E-2</v>
      </c>
      <c r="G140" s="12">
        <f>F142*EXP($G$13)</f>
        <v>7.7655178786708079E-2</v>
      </c>
      <c r="H140" s="1"/>
      <c r="I140" s="1"/>
      <c r="J140" s="1"/>
      <c r="K140" s="39"/>
      <c r="L140" s="2">
        <f>MIN($B$8,AVERAGE(M133:M135)/(1+F140+$D$9/10000))+$B$7</f>
        <v>102.35564394970517</v>
      </c>
      <c r="M140" s="39"/>
    </row>
    <row r="141" spans="1:13" x14ac:dyDescent="0.35">
      <c r="B141" s="5"/>
      <c r="C141" s="5"/>
      <c r="D141" s="12">
        <f>C143*EXP($D$13)</f>
        <v>6.7371530202874022E-2</v>
      </c>
      <c r="E141" s="20">
        <f>(D141+$B$4)*EXP($E$13)</f>
        <v>7.1301576277008463E-2</v>
      </c>
      <c r="F141" s="20">
        <f>(E142+$B$4)*EXP($F$13)</f>
        <v>7.7880313852802446E-2</v>
      </c>
      <c r="G141" s="20">
        <f>(F142+$B$4)*EXP($G$13)</f>
        <v>7.9916066117257156E-2</v>
      </c>
      <c r="H141" s="1"/>
      <c r="I141" s="1"/>
      <c r="J141" s="1"/>
      <c r="K141" s="2">
        <f>MIN($B$8,AVERAGE(L140:L143)/(1+E143+$D$9/10000))+$B$7</f>
        <v>100.63700616810038</v>
      </c>
      <c r="L141" s="39"/>
      <c r="M141" s="2">
        <f>MIN($B$8,(100+$B$7)/(1+G$126+$D$9/10000))+$B$7</f>
        <v>104.71768498841423</v>
      </c>
    </row>
    <row r="142" spans="1:13" x14ac:dyDescent="0.35">
      <c r="B142" s="5"/>
      <c r="C142" s="5"/>
      <c r="D142" s="20">
        <f>(C143+$B$4)*EXP($D$13)</f>
        <v>6.9618735514264174E-2</v>
      </c>
      <c r="E142" s="20">
        <f>(D142+$B$4)*EXP($E$13)</f>
        <v>7.3604663192776254E-2</v>
      </c>
      <c r="F142" s="20">
        <f>(E143+$B$4)*EXP($F$13)</f>
        <v>7.5563868673308374E-2</v>
      </c>
      <c r="G142" s="20">
        <f>(F143+$B$4)*EXP($G$13)</f>
        <v>7.7593272142944425E-2</v>
      </c>
      <c r="H142" s="40"/>
      <c r="I142" s="1"/>
      <c r="J142" s="2">
        <f>MIN($B$8,AVERAGE(K139:K141)/(1+D142+$D$9/10000))+$B$7</f>
        <v>99.277169336558302</v>
      </c>
      <c r="K142" s="39"/>
      <c r="L142" s="39"/>
      <c r="M142" s="39"/>
    </row>
    <row r="143" spans="1:13" x14ac:dyDescent="0.35">
      <c r="B143" s="5"/>
      <c r="C143" s="20">
        <f>(B144+$B$4)*EXP($C$13*10)</f>
        <v>6.59563083511195E-2</v>
      </c>
      <c r="D143" s="5"/>
      <c r="E143" s="12">
        <f>D142*EXP($E$13)</f>
        <v>7.1349955450227015E-2</v>
      </c>
      <c r="F143" s="12">
        <f>E143*EXP($F$13)</f>
        <v>7.330362922022296E-2</v>
      </c>
      <c r="G143" s="12">
        <f>F143*EXP($G$13)</f>
        <v>7.5332384812395348E-2</v>
      </c>
      <c r="H143" s="40"/>
      <c r="I143" s="2">
        <f>MIN($B$8,AVERAGE(J142:J142)/(1+C143+$D$9/10000))+$B$7</f>
        <v>98.134370103898306</v>
      </c>
      <c r="J143" s="39"/>
      <c r="K143" s="39"/>
      <c r="L143" s="2">
        <f>MIN($B$8,AVERAGE(M136:M138)/(1+F143+$D$9/10000))+$B$7</f>
        <v>102.56576064546971</v>
      </c>
      <c r="M143" s="2">
        <f>MIN($B$8,(100+$B$7)/(1+G$126+$D$9/10000))+$B$7</f>
        <v>104.71768498841423</v>
      </c>
    </row>
    <row r="144" spans="1:13" x14ac:dyDescent="0.35">
      <c r="B144" s="12">
        <f>B126</f>
        <v>4.997443E-2</v>
      </c>
      <c r="C144" s="37"/>
      <c r="D144" s="5"/>
      <c r="E144" s="5"/>
      <c r="F144" s="5"/>
      <c r="G144" s="5"/>
      <c r="H144" s="3" t="e">
        <f>AVERAGE(I144:I145)/(1+B144+$G$5/10000)</f>
        <v>#VALUE!</v>
      </c>
      <c r="I144" s="1"/>
      <c r="J144" s="1"/>
      <c r="K144" s="1"/>
      <c r="L144" s="1"/>
      <c r="M144" s="1"/>
    </row>
    <row r="145" spans="2:13" x14ac:dyDescent="0.35">
      <c r="B145" s="5"/>
      <c r="C145" s="41">
        <f>(B144-$B$4)*EXP($C$13)</f>
        <v>4.8907490227089921E-2</v>
      </c>
      <c r="D145" s="5"/>
      <c r="E145" s="12">
        <f>D146*EXP($E$13)</f>
        <v>4.8896095277437962E-2</v>
      </c>
      <c r="F145" s="12">
        <f>E145*EXP($F$13)</f>
        <v>5.0234947112676905E-2</v>
      </c>
      <c r="G145" s="12">
        <f>F145*EXP($G$13)</f>
        <v>5.1625252489933875E-2</v>
      </c>
      <c r="H145" s="40"/>
      <c r="I145" s="2">
        <f>MIN($B$8,AVERAGE(J146:J146)/(1+C145+$D$9/10000))+$B$7</f>
        <v>104.85054570935371</v>
      </c>
      <c r="J145" s="39"/>
      <c r="K145" s="39"/>
      <c r="L145" s="2">
        <f>MIN($B$8,AVERAGE(M138:M140)/(1+F145+$D$9/10000))+$B$7</f>
        <v>104.70881779958457</v>
      </c>
      <c r="M145" s="2">
        <f>MIN($B$8,(100+$B$7)/(1+G$126+$D$9/10000))+$B$7</f>
        <v>104.71768498841423</v>
      </c>
    </row>
    <row r="146" spans="2:13" x14ac:dyDescent="0.35">
      <c r="B146" s="5"/>
      <c r="C146" s="5"/>
      <c r="D146" s="42">
        <f>(C145-$B$4)*EXP($D$13)</f>
        <v>4.7709690963645641E-2</v>
      </c>
      <c r="E146" s="41">
        <f>(D146-$B$4)*EXP($E$13)</f>
        <v>4.6641387534888716E-2</v>
      </c>
      <c r="F146" s="41">
        <f>(E145-$B$4)*EXP($E$13)</f>
        <v>4.7857294349480252E-2</v>
      </c>
      <c r="G146" s="41">
        <f>(F145-$B$4)*EXP($G$13)</f>
        <v>4.936436515938479E-2</v>
      </c>
      <c r="H146" s="40"/>
      <c r="I146" s="1"/>
      <c r="J146" s="2">
        <f>MIN($B$8,AVERAGE(K147:K149)/(1+D147+$D$9/10000))+$B$7</f>
        <v>104.73398529780351</v>
      </c>
      <c r="K146" s="39"/>
      <c r="L146" s="39"/>
      <c r="M146" s="39"/>
    </row>
    <row r="147" spans="2:13" x14ac:dyDescent="0.35">
      <c r="B147" s="5"/>
      <c r="C147" s="5"/>
      <c r="D147" s="12">
        <f>C145*EXP($D$13)</f>
        <v>4.9956896275035807E-2</v>
      </c>
      <c r="E147" s="41">
        <f>(D147-$B$4)*EXP($E$13)</f>
        <v>4.8944474450656535E-2</v>
      </c>
      <c r="F147" s="41">
        <f>(E146-$B$4)*EXP($E$13)</f>
        <v>4.5546518438429565E-2</v>
      </c>
      <c r="G147" s="41">
        <f>(F146-$B$4)*EXP($G$13)</f>
        <v>4.6920908337222823E-2</v>
      </c>
      <c r="H147" s="40"/>
      <c r="I147" s="1"/>
      <c r="J147" s="1"/>
      <c r="K147" s="2">
        <f>MIN($B$8,AVERAGE(L145:L148)/(1+E145+$D$9/10000))+$B$7</f>
        <v>104.93270301721066</v>
      </c>
      <c r="L147" s="39"/>
      <c r="M147" s="2">
        <f>MIN($B$8,(100+$B$7)/(1+G$126+$D$9/10000))+$B$7</f>
        <v>104.71768498841423</v>
      </c>
    </row>
    <row r="148" spans="2:13" x14ac:dyDescent="0.35">
      <c r="B148" s="5"/>
      <c r="C148" s="5"/>
      <c r="D148" s="5"/>
      <c r="E148" s="12">
        <f>D147*EXP($E$13)</f>
        <v>5.1199182193205781E-2</v>
      </c>
      <c r="F148" s="12">
        <f>E146*EXP($F$13)</f>
        <v>4.7918501933182818E-2</v>
      </c>
      <c r="G148" s="12">
        <f>F146*EXP($G$13)</f>
        <v>4.9181795667771908E-2</v>
      </c>
      <c r="H148" s="40"/>
      <c r="I148" s="1"/>
      <c r="J148" s="1"/>
      <c r="K148" s="39"/>
      <c r="L148" s="2">
        <f>MIN($B$8,AVERAGE(M141:M143)/(1+F148+$D$9/10000))+$B$7</f>
        <v>104.92922617095964</v>
      </c>
      <c r="M148" s="39"/>
    </row>
    <row r="149" spans="2:13" x14ac:dyDescent="0.35">
      <c r="B149" s="5"/>
      <c r="C149" s="5"/>
      <c r="D149" s="5"/>
      <c r="E149" s="5"/>
      <c r="F149" s="41">
        <f>(E147-$B$4)*EXP($E$13)</f>
        <v>4.7906876575132089E-2</v>
      </c>
      <c r="G149" s="41">
        <f>(F147-$B$4)*EXP($G$13)</f>
        <v>4.4546179254935314E-2</v>
      </c>
      <c r="H149" s="38"/>
      <c r="I149" s="39"/>
      <c r="J149" s="39"/>
      <c r="K149" s="2">
        <f>MIN($B$8,AVERAGE(L150:L152)/(1+E148+$D$9/10000))+$B$7</f>
        <v>104.500068295633</v>
      </c>
      <c r="L149" s="39"/>
      <c r="M149" s="2">
        <f>MIN($B$8,(100+$B$7)/(1+G$126+$D$9/10000))+$B$7</f>
        <v>104.71768498841423</v>
      </c>
    </row>
    <row r="150" spans="2:13" x14ac:dyDescent="0.35">
      <c r="B150" s="5"/>
      <c r="C150" s="5"/>
      <c r="D150" s="5"/>
      <c r="E150" s="5"/>
      <c r="F150" s="12">
        <f>E147*EXP($F$13)</f>
        <v>5.0284650983593387E-2</v>
      </c>
      <c r="G150" s="12">
        <f>F147*EXP($G$13)</f>
        <v>4.6807066585484398E-2</v>
      </c>
      <c r="H150" s="1"/>
      <c r="I150" s="39"/>
      <c r="J150" s="39"/>
      <c r="K150" s="39"/>
      <c r="L150" s="2">
        <f>MIN($B$8,AVERAGE(M143:M145)/(1+F150+$D$9/10000))+$B$7</f>
        <v>104.70409916049515</v>
      </c>
      <c r="M150" s="39"/>
    </row>
    <row r="151" spans="2:13" x14ac:dyDescent="0.35">
      <c r="B151" s="5"/>
      <c r="C151" s="5"/>
      <c r="D151" s="5"/>
      <c r="E151" s="5"/>
      <c r="F151" s="41">
        <f>(E148-$B$4)*EXP($E$13)</f>
        <v>5.0217652486182776E-2</v>
      </c>
      <c r="G151" s="41">
        <f>(F148-$B$4)*EXP($G$13)</f>
        <v>4.6983809905644026E-2</v>
      </c>
      <c r="H151" s="1"/>
      <c r="I151" s="1"/>
      <c r="J151" s="39"/>
      <c r="K151" s="39"/>
      <c r="L151" s="39"/>
      <c r="M151" s="2">
        <f>MIN($B$8,(100+$B$7)/(1+G$126+$D$9/10000))+$B$7</f>
        <v>104.71768498841423</v>
      </c>
    </row>
    <row r="152" spans="2:13" x14ac:dyDescent="0.35">
      <c r="B152" s="5"/>
      <c r="C152" s="5"/>
      <c r="D152" s="5"/>
      <c r="E152" s="5"/>
      <c r="F152" s="12">
        <f>E148*EXP($F$13)</f>
        <v>5.2601096163087474E-2</v>
      </c>
      <c r="G152" s="12">
        <f>F148*EXP($G$13)</f>
        <v>4.9244697236193111E-2</v>
      </c>
      <c r="H152" s="1"/>
      <c r="I152" s="1"/>
      <c r="J152" s="1"/>
      <c r="K152" s="39"/>
      <c r="L152" s="2">
        <f>MIN($B$8,AVERAGE(M145:M147)/(1+F152+$D$9/10000))+$B$7</f>
        <v>104.48468168057991</v>
      </c>
      <c r="M152" s="39"/>
    </row>
    <row r="153" spans="2:13" x14ac:dyDescent="0.35">
      <c r="B153" s="5"/>
      <c r="C153" s="5"/>
      <c r="D153" s="5"/>
      <c r="E153" s="5"/>
      <c r="F153" s="5"/>
      <c r="G153" s="41">
        <f>(F149-$B$4)*EXP($G$13)</f>
        <v>4.6971862803494031E-2</v>
      </c>
      <c r="H153" s="1"/>
      <c r="I153" s="1"/>
      <c r="J153" s="1"/>
      <c r="K153" s="1"/>
      <c r="L153" s="39"/>
      <c r="M153" s="2">
        <f>MIN($B$8,(100+$B$7)/(1+G$126+$D$9/10000))+$B$7</f>
        <v>104.71768498841423</v>
      </c>
    </row>
    <row r="154" spans="2:13" x14ac:dyDescent="0.35">
      <c r="B154" s="5"/>
      <c r="C154" s="5"/>
      <c r="D154" s="5"/>
      <c r="E154" s="5"/>
      <c r="F154" s="5"/>
      <c r="G154" s="12">
        <f>F149*EXP($G$13)</f>
        <v>4.9232750134043116E-2</v>
      </c>
      <c r="H154" s="1"/>
      <c r="I154" s="1"/>
      <c r="J154" s="1"/>
      <c r="K154" s="1"/>
      <c r="L154" s="1"/>
      <c r="M154" s="39"/>
    </row>
    <row r="155" spans="2:13" x14ac:dyDescent="0.35">
      <c r="B155" s="5"/>
      <c r="C155" s="5"/>
      <c r="D155" s="5"/>
      <c r="E155" s="5"/>
      <c r="F155" s="5"/>
      <c r="G155" s="41">
        <f>(F150-0.001)*EXP($G$13)</f>
        <v>5.06486559087908E-2</v>
      </c>
      <c r="H155" s="1"/>
      <c r="I155" s="1"/>
      <c r="J155" s="1"/>
      <c r="K155" s="1"/>
      <c r="L155" s="1"/>
      <c r="M155" s="2">
        <f>MIN($B$8,(100+$B$7)/(1+G$126+$D$9/10000))+$B$7</f>
        <v>104.71768498841423</v>
      </c>
    </row>
    <row r="156" spans="2:13" x14ac:dyDescent="0.35">
      <c r="B156" s="5"/>
      <c r="C156" s="5"/>
      <c r="D156" s="5"/>
      <c r="E156" s="5"/>
      <c r="F156" s="5"/>
      <c r="G156" s="12">
        <f>F150*EXP($G$13)</f>
        <v>5.1676331968131296E-2</v>
      </c>
      <c r="H156" s="40"/>
      <c r="I156" s="1"/>
      <c r="J156" s="1"/>
      <c r="K156" s="1"/>
      <c r="L156" s="1"/>
      <c r="M156" s="39"/>
    </row>
    <row r="157" spans="2:13" x14ac:dyDescent="0.35">
      <c r="B157" s="5"/>
      <c r="C157" s="5"/>
      <c r="D157" s="5"/>
      <c r="E157" s="5"/>
      <c r="F157" s="5"/>
      <c r="G157" s="41">
        <f>(F151-$B$4)*EXP($G$13)</f>
        <v>4.9346591885781541E-2</v>
      </c>
      <c r="H157" s="40"/>
      <c r="I157" s="1"/>
      <c r="J157" s="1"/>
      <c r="K157" s="1"/>
      <c r="L157" s="1"/>
      <c r="M157" s="2">
        <f>MIN($B$8,(100+$B$7)/(1+G$126+$D$9/10000))+$B$7</f>
        <v>104.71768498841423</v>
      </c>
    </row>
    <row r="158" spans="2:13" x14ac:dyDescent="0.35">
      <c r="B158" s="5"/>
      <c r="C158" s="5"/>
      <c r="D158" s="5"/>
      <c r="E158" s="5"/>
      <c r="F158" s="5"/>
      <c r="G158" s="12">
        <f>F151*EXP($G$13)</f>
        <v>5.1607479216330625E-2</v>
      </c>
      <c r="H158" s="40"/>
      <c r="I158" s="1"/>
      <c r="J158" s="1"/>
      <c r="K158" s="1"/>
      <c r="L158" s="1"/>
      <c r="M158" s="39"/>
    </row>
    <row r="159" spans="2:13" x14ac:dyDescent="0.35">
      <c r="B159" s="5"/>
      <c r="C159" s="5"/>
      <c r="D159" s="5"/>
      <c r="E159" s="5"/>
      <c r="F159" s="5"/>
      <c r="G159" s="41">
        <f>(F152-$B$4)*EXP($G$13)</f>
        <v>5.1795999891322976E-2</v>
      </c>
      <c r="H159" s="40"/>
      <c r="I159" s="1"/>
      <c r="J159" s="1"/>
      <c r="K159" s="1"/>
      <c r="L159" s="1"/>
      <c r="M159" s="2">
        <f>MIN($B$8,(100+$B$7)/(1+G$126+$D$9/10000))+$B$7</f>
        <v>104.71768498841423</v>
      </c>
    </row>
    <row r="160" spans="2:13" x14ac:dyDescent="0.35">
      <c r="B160" s="5"/>
      <c r="C160" s="5"/>
      <c r="D160" s="5"/>
      <c r="E160" s="5"/>
      <c r="F160" s="5"/>
      <c r="G160" s="12">
        <f>F152*EXP($G$13)</f>
        <v>5.405688722187206E-2</v>
      </c>
    </row>
    <row r="161" spans="1:13" x14ac:dyDescent="0.35">
      <c r="A161" s="21" t="s">
        <v>8</v>
      </c>
      <c r="B161" s="21">
        <v>1</v>
      </c>
      <c r="C161" s="17">
        <v>2</v>
      </c>
      <c r="D161" s="17">
        <v>3</v>
      </c>
      <c r="E161" s="17">
        <v>4</v>
      </c>
      <c r="F161" s="17">
        <v>5</v>
      </c>
      <c r="G161" s="17">
        <v>6</v>
      </c>
    </row>
    <row r="162" spans="1:13" x14ac:dyDescent="0.35">
      <c r="A162" s="29" t="s">
        <v>25</v>
      </c>
      <c r="B162" s="22">
        <f t="shared" ref="B162:G162" si="10">B13-0.01</f>
        <v>1.5569999999999999E-2</v>
      </c>
      <c r="C162" s="22">
        <f t="shared" si="10"/>
        <v>1.3439999999999999E-2</v>
      </c>
      <c r="D162" s="22">
        <f t="shared" si="10"/>
        <v>1.1229999999999999E-2</v>
      </c>
      <c r="E162" s="22">
        <f t="shared" si="10"/>
        <v>1.4563000000000001E-2</v>
      </c>
      <c r="F162" s="22">
        <f t="shared" si="10"/>
        <v>1.7013399999999998E-2</v>
      </c>
      <c r="G162" s="22">
        <f t="shared" si="10"/>
        <v>1.7300000000000003E-2</v>
      </c>
    </row>
    <row r="163" spans="1:13" ht="15" thickBot="1" x14ac:dyDescent="0.4">
      <c r="A163" s="34" t="s">
        <v>12</v>
      </c>
      <c r="B163" s="23"/>
      <c r="C163" s="24">
        <v>4.4239528164320502E-2</v>
      </c>
      <c r="D163" s="24">
        <v>3.9206080635796108E-2</v>
      </c>
      <c r="E163" s="24">
        <v>3.396195103219455E-2</v>
      </c>
      <c r="F163" s="24">
        <v>2.5367376324512848E-2</v>
      </c>
      <c r="G163" s="24">
        <v>2.8487785999571535E-2</v>
      </c>
    </row>
    <row r="164" spans="1:13" x14ac:dyDescent="0.35">
      <c r="A164" s="35"/>
      <c r="B164" s="8">
        <f t="shared" ref="B164:G164" si="11">B14</f>
        <v>4.997443E-2</v>
      </c>
      <c r="C164" s="8">
        <f t="shared" si="11"/>
        <v>5.2476559999999998E-2</v>
      </c>
      <c r="D164" s="8">
        <f t="shared" si="11"/>
        <v>5.3978770000000002E-2</v>
      </c>
      <c r="E164" s="8">
        <f t="shared" si="11"/>
        <v>5.2975437E-2</v>
      </c>
      <c r="F164" s="8">
        <f t="shared" si="11"/>
        <v>5.5972986600000003E-2</v>
      </c>
      <c r="G164" s="8">
        <f t="shared" si="11"/>
        <v>5.2972699999999998E-2</v>
      </c>
    </row>
    <row r="165" spans="1:13" x14ac:dyDescent="0.35">
      <c r="A165" s="31" t="s">
        <v>0</v>
      </c>
      <c r="B165" s="10">
        <f t="shared" ref="B165:G165" si="12">1/(1+B164)^B13</f>
        <v>0.99875383530904016</v>
      </c>
      <c r="C165" s="10">
        <f t="shared" si="12"/>
        <v>0.99880185574435887</v>
      </c>
      <c r="D165" s="10">
        <f t="shared" si="12"/>
        <v>0.99888451252883204</v>
      </c>
      <c r="E165" s="10">
        <f t="shared" si="12"/>
        <v>0.9987328637401357</v>
      </c>
      <c r="F165" s="10">
        <f t="shared" si="12"/>
        <v>0.99852986160455248</v>
      </c>
      <c r="G165" s="10">
        <f t="shared" si="12"/>
        <v>0.99859183991106348</v>
      </c>
    </row>
    <row r="166" spans="1:13" x14ac:dyDescent="0.35">
      <c r="A166" s="11"/>
      <c r="B166" s="5"/>
      <c r="C166" s="5"/>
      <c r="D166" s="5"/>
      <c r="E166" s="5"/>
      <c r="F166" s="5"/>
      <c r="G166" s="12">
        <f>F174*EXP($G$13)</f>
        <v>7.2900750080457183E-2</v>
      </c>
    </row>
    <row r="167" spans="1:13" x14ac:dyDescent="0.35">
      <c r="A167" s="11"/>
      <c r="B167" s="5"/>
      <c r="C167" s="5"/>
      <c r="D167" s="5"/>
      <c r="E167" s="5"/>
      <c r="F167" s="5"/>
      <c r="G167" s="20">
        <f>(F174+$B$4)*EXP($G$13)</f>
        <v>7.516163741100626E-2</v>
      </c>
      <c r="H167" s="40"/>
      <c r="I167" s="1"/>
      <c r="J167" s="1"/>
      <c r="K167" s="1"/>
      <c r="L167" s="1"/>
      <c r="M167" s="2">
        <f>MIN($B$8,(100+$B$7)/(1+G$164+$D$9/10000))+$B$7</f>
        <v>104.71768498841423</v>
      </c>
    </row>
    <row r="168" spans="1:13" x14ac:dyDescent="0.35">
      <c r="A168" s="11"/>
      <c r="B168" s="5"/>
      <c r="C168" s="5"/>
      <c r="D168" s="5"/>
      <c r="E168" s="5"/>
      <c r="F168" s="5"/>
      <c r="G168" s="12">
        <f>F175*EXP($G$13)</f>
        <v>7.5223544054769928E-2</v>
      </c>
      <c r="H168" s="40"/>
      <c r="I168" s="1"/>
      <c r="J168" s="1"/>
      <c r="K168" s="1"/>
      <c r="L168" s="1"/>
      <c r="M168" s="39"/>
    </row>
    <row r="169" spans="1:13" x14ac:dyDescent="0.35">
      <c r="A169" s="11"/>
      <c r="B169" s="5"/>
      <c r="C169" s="5"/>
      <c r="D169" s="5"/>
      <c r="E169" s="5"/>
      <c r="F169" s="5"/>
      <c r="G169" s="20">
        <f>(F175+$B$4)*EXP($G$13)</f>
        <v>7.7484431385319005E-2</v>
      </c>
      <c r="H169" s="40"/>
      <c r="I169" s="1"/>
      <c r="J169" s="1"/>
      <c r="K169" s="1"/>
      <c r="L169" s="1"/>
      <c r="M169" s="2">
        <f>MIN($B$8,(100+$B$7)/(1+G$164+$D$9/10000))+$B$7</f>
        <v>104.71768498841423</v>
      </c>
    </row>
    <row r="170" spans="1:13" x14ac:dyDescent="0.35">
      <c r="A170" s="11"/>
      <c r="B170" s="5"/>
      <c r="C170" s="5"/>
      <c r="D170" s="5"/>
      <c r="E170" s="5"/>
      <c r="F170" s="5"/>
      <c r="G170" s="12">
        <f>F176*EXP($G$13)</f>
        <v>7.5281305334197954E-2</v>
      </c>
      <c r="H170" s="40"/>
      <c r="I170" s="1"/>
      <c r="J170" s="1"/>
      <c r="K170" s="1"/>
      <c r="L170" s="1"/>
      <c r="M170" s="39"/>
    </row>
    <row r="171" spans="1:13" x14ac:dyDescent="0.35">
      <c r="A171" s="11"/>
      <c r="B171" s="5"/>
      <c r="C171" s="5"/>
      <c r="D171" s="5"/>
      <c r="E171" s="5"/>
      <c r="F171" s="5"/>
      <c r="G171" s="20">
        <f>(F176+$B$4)*EXP($G$13)</f>
        <v>7.7542192664747031E-2</v>
      </c>
      <c r="H171" s="40"/>
      <c r="I171" s="1"/>
      <c r="J171" s="1"/>
      <c r="K171" s="1"/>
      <c r="L171" s="1"/>
      <c r="M171" s="2">
        <f>MIN($B$8,(100+$B$7)/(1+G$164+$D$9/10000))+$B$7</f>
        <v>104.71768498841423</v>
      </c>
    </row>
    <row r="172" spans="1:13" x14ac:dyDescent="0.35">
      <c r="A172" s="1"/>
      <c r="B172" s="5"/>
      <c r="C172" s="5"/>
      <c r="D172" s="5"/>
      <c r="E172" s="5"/>
      <c r="F172" s="5"/>
      <c r="G172" s="12">
        <f>F177*EXP($G$13)</f>
        <v>7.7604099308510671E-2</v>
      </c>
      <c r="H172" s="40"/>
      <c r="I172" s="1"/>
      <c r="J172" s="1"/>
      <c r="K172" s="1"/>
      <c r="L172" s="1"/>
      <c r="M172" s="39"/>
    </row>
    <row r="173" spans="1:13" x14ac:dyDescent="0.35">
      <c r="A173" s="1"/>
      <c r="B173" s="5"/>
      <c r="C173" s="5"/>
      <c r="D173" s="5"/>
      <c r="E173" s="5"/>
      <c r="F173" s="5"/>
      <c r="G173" s="20">
        <f>(F177+$B$4)*EXP($G$13)</f>
        <v>7.9864986639059762E-2</v>
      </c>
      <c r="H173" s="38"/>
      <c r="I173" s="39"/>
      <c r="J173" s="39"/>
      <c r="K173" s="39"/>
      <c r="L173" s="39"/>
      <c r="M173" s="2">
        <f>MIN($B$8,(100+$B$7)/(1+G$164+$D$9/10000))+$B$7</f>
        <v>104.71768498841423</v>
      </c>
    </row>
    <row r="174" spans="1:13" x14ac:dyDescent="0.35">
      <c r="A174" s="1"/>
      <c r="B174" s="5"/>
      <c r="C174" s="5"/>
      <c r="D174" s="5"/>
      <c r="E174" s="5"/>
      <c r="F174" s="12">
        <f>E178*EXP($F$13)</f>
        <v>7.0937480169812411E-2</v>
      </c>
      <c r="G174" s="12">
        <f>F178*EXP($G$13)</f>
        <v>7.7712940066136091E-2</v>
      </c>
      <c r="H174" s="1"/>
      <c r="I174" s="39"/>
      <c r="J174" s="39"/>
      <c r="K174" s="39"/>
      <c r="L174" s="2">
        <f>MIN($B$8,AVERAGE(M167:M169)/(1+F174+$D$9/10000))+$B$7</f>
        <v>102.7813242392168</v>
      </c>
      <c r="M174" s="39"/>
    </row>
    <row r="175" spans="1:13" x14ac:dyDescent="0.35">
      <c r="B175" s="5"/>
      <c r="C175" s="5"/>
      <c r="D175" s="5"/>
      <c r="E175" s="5"/>
      <c r="F175" s="20">
        <f>(E178+$B$4)*EXP($F$13)</f>
        <v>7.3197719622897839E-2</v>
      </c>
      <c r="G175" s="20">
        <f>(F178+$B$4)*EXP($G$13)</f>
        <v>7.9973827396685168E-2</v>
      </c>
      <c r="H175" s="1"/>
      <c r="I175" s="1"/>
      <c r="J175" s="39"/>
      <c r="K175" s="39"/>
      <c r="L175" s="39"/>
      <c r="M175" s="2">
        <f>MIN($B$8,(100+$B$7)/(1+G$164+$D$9/10000))+$B$7</f>
        <v>104.71768498841423</v>
      </c>
    </row>
    <row r="176" spans="1:13" x14ac:dyDescent="0.35">
      <c r="B176" s="5"/>
      <c r="C176" s="5"/>
      <c r="D176" s="5"/>
      <c r="E176" s="5"/>
      <c r="F176" s="12">
        <f>E179*EXP($F$13)</f>
        <v>7.3253925349306498E-2</v>
      </c>
      <c r="G176" s="12">
        <f>F179*EXP($G$13)</f>
        <v>8.0035734040448822E-2</v>
      </c>
      <c r="H176" s="1"/>
      <c r="I176" s="1"/>
      <c r="J176" s="1"/>
      <c r="K176" s="39"/>
      <c r="L176" s="2">
        <f>MIN($B$8,AVERAGE(M169:M171)/(1+F176+$D$9/10000))+$B$7</f>
        <v>102.57027905053532</v>
      </c>
      <c r="M176" s="39"/>
    </row>
    <row r="177" spans="2:13" x14ac:dyDescent="0.35">
      <c r="B177" s="5"/>
      <c r="C177" s="5"/>
      <c r="D177" s="5"/>
      <c r="E177" s="5"/>
      <c r="F177" s="20">
        <f>(E179+$B$4)*EXP($F$13)</f>
        <v>7.5514164802391912E-2</v>
      </c>
      <c r="G177" s="20">
        <f>(F179+$B$4)*EXP($G$13)</f>
        <v>8.2296621370997899E-2</v>
      </c>
      <c r="H177" s="1"/>
      <c r="I177" s="1"/>
      <c r="J177" s="1"/>
      <c r="K177" s="2">
        <f>MIN($B$8,AVERAGE(L174:L176)/(1+E178+$D$9/10000))+$B$7</f>
        <v>101.0442471391669</v>
      </c>
      <c r="L177" s="39"/>
      <c r="M177" s="2">
        <f>MIN($B$8,(100+$B$7)/(1+G$164+$D$9/10000))+$B$7</f>
        <v>104.71768498841423</v>
      </c>
    </row>
    <row r="178" spans="2:13" x14ac:dyDescent="0.35">
      <c r="B178" s="5"/>
      <c r="C178" s="5"/>
      <c r="D178" s="5"/>
      <c r="E178" s="12">
        <f>D179*EXP($E$13)</f>
        <v>6.9046868534459224E-2</v>
      </c>
      <c r="F178" s="12">
        <f>E180*EXP($F$13)</f>
        <v>7.5620074399717033E-2</v>
      </c>
      <c r="G178" s="12">
        <f>F180*EXP($G$13)</f>
        <v>7.7655178786708079E-2</v>
      </c>
      <c r="H178" s="1"/>
      <c r="I178" s="1"/>
      <c r="J178" s="1"/>
      <c r="K178" s="39"/>
      <c r="L178" s="2">
        <f>MIN($B$8,AVERAGE(M171:M173)/(1+F178+$D$9/10000))+$B$7</f>
        <v>102.35564394970517</v>
      </c>
      <c r="M178" s="39"/>
    </row>
    <row r="179" spans="2:13" x14ac:dyDescent="0.35">
      <c r="B179" s="5"/>
      <c r="C179" s="5"/>
      <c r="D179" s="12">
        <f>C181*EXP($D$13)</f>
        <v>6.7371530202874022E-2</v>
      </c>
      <c r="E179" s="20">
        <f>(D179+$B$4)*EXP($E$13)</f>
        <v>7.1301576277008463E-2</v>
      </c>
      <c r="F179" s="20">
        <f>(E180+$B$4)*EXP($F$13)</f>
        <v>7.7880313852802446E-2</v>
      </c>
      <c r="G179" s="20">
        <f>(F180+$B$4)*EXP($G$13)</f>
        <v>7.9916066117257156E-2</v>
      </c>
      <c r="H179" s="1"/>
      <c r="I179" s="1"/>
      <c r="J179" s="1"/>
      <c r="K179" s="2">
        <f>MIN($B$8,AVERAGE(L178:L181)/(1+E181+$D$9/10000))+$B$7</f>
        <v>100.63700616810038</v>
      </c>
      <c r="L179" s="39"/>
      <c r="M179" s="2">
        <f>MIN($B$8,(100+$B$7)/(1+G$164+$D$9/10000))+$B$7</f>
        <v>104.71768498841423</v>
      </c>
    </row>
    <row r="180" spans="2:13" x14ac:dyDescent="0.35">
      <c r="B180" s="5"/>
      <c r="C180" s="5"/>
      <c r="D180" s="20">
        <f>(C181+$B$4)*EXP($D$13)</f>
        <v>6.9618735514264174E-2</v>
      </c>
      <c r="E180" s="20">
        <f>(D180+$B$4)*EXP($E$13)</f>
        <v>7.3604663192776254E-2</v>
      </c>
      <c r="F180" s="20">
        <f>(E181+$B$4)*EXP($F$13)</f>
        <v>7.5563868673308374E-2</v>
      </c>
      <c r="G180" s="20">
        <f>(F181+$B$4)*EXP($G$13)</f>
        <v>7.7593272142944425E-2</v>
      </c>
      <c r="H180" s="40"/>
      <c r="I180" s="1"/>
      <c r="J180" s="2">
        <f>MIN($B$8,AVERAGE(K177:K179)/(1+D180+$D$9/10000))+$B$7</f>
        <v>99.277169336558302</v>
      </c>
      <c r="K180" s="39"/>
      <c r="L180" s="39"/>
      <c r="M180" s="39"/>
    </row>
    <row r="181" spans="2:13" x14ac:dyDescent="0.35">
      <c r="B181" s="5"/>
      <c r="C181" s="20">
        <f>(B182+$B$4)*EXP($C$13*10)</f>
        <v>6.59563083511195E-2</v>
      </c>
      <c r="D181" s="5"/>
      <c r="E181" s="12">
        <f>D180*EXP($E$13)</f>
        <v>7.1349955450227015E-2</v>
      </c>
      <c r="F181" s="12">
        <f>E181*EXP($F$13)</f>
        <v>7.330362922022296E-2</v>
      </c>
      <c r="G181" s="12">
        <f>F181*EXP($G$13)</f>
        <v>7.5332384812395348E-2</v>
      </c>
      <c r="H181" s="40"/>
      <c r="I181" s="2">
        <f>MIN($B$8,AVERAGE(J180:J180)/(1+C181+$D$9/10000))+$B$7</f>
        <v>98.134370103898306</v>
      </c>
      <c r="J181" s="39"/>
      <c r="K181" s="39"/>
      <c r="L181" s="2">
        <f>MIN($B$8,AVERAGE(M174:M176)/(1+F181+$D$9/10000))+$B$7</f>
        <v>102.56576064546971</v>
      </c>
      <c r="M181" s="2">
        <f>MIN($B$8,(100+$B$7)/(1+G$164+$D$9/10000))+$B$7</f>
        <v>104.71768498841423</v>
      </c>
    </row>
    <row r="182" spans="2:13" x14ac:dyDescent="0.35">
      <c r="B182" s="12">
        <f>B164</f>
        <v>4.997443E-2</v>
      </c>
      <c r="C182" s="37"/>
      <c r="D182" s="5"/>
      <c r="E182" s="5"/>
      <c r="F182" s="5"/>
      <c r="G182" s="5"/>
      <c r="H182" s="3" t="e">
        <f>AVERAGE(I182:I183)/(1+B182+$G$5/10000)</f>
        <v>#VALUE!</v>
      </c>
      <c r="I182" s="1"/>
      <c r="J182" s="1"/>
      <c r="K182" s="1"/>
      <c r="L182" s="1"/>
      <c r="M182" s="1"/>
    </row>
    <row r="183" spans="2:13" x14ac:dyDescent="0.35">
      <c r="B183" s="5"/>
      <c r="C183" s="41">
        <f>(B182-$B$4)*EXP($C$13)</f>
        <v>4.8907490227089921E-2</v>
      </c>
      <c r="D183" s="5"/>
      <c r="E183" s="12">
        <f>D184*EXP($E$13)</f>
        <v>4.8896095277437962E-2</v>
      </c>
      <c r="F183" s="12">
        <f>E183*EXP($F$13)</f>
        <v>5.0234947112676905E-2</v>
      </c>
      <c r="G183" s="12">
        <f>F183*EXP($G$13)</f>
        <v>5.1625252489933875E-2</v>
      </c>
      <c r="H183" s="40"/>
      <c r="I183" s="2">
        <f>MIN($B$8,AVERAGE(J184:J184)/(1+C183+$D$9/10000))+$B$7</f>
        <v>104.85054570935371</v>
      </c>
      <c r="J183" s="39"/>
      <c r="K183" s="39"/>
      <c r="L183" s="2">
        <f>MIN($B$8,AVERAGE(M176:M178)/(1+F183+$D$9/10000))+$B$7</f>
        <v>104.70881779958457</v>
      </c>
      <c r="M183" s="2">
        <f>MIN($B$8,(100+$B$7)/(1+G$164+$D$9/10000))+$B$7</f>
        <v>104.71768498841423</v>
      </c>
    </row>
    <row r="184" spans="2:13" x14ac:dyDescent="0.35">
      <c r="B184" s="5"/>
      <c r="C184" s="5"/>
      <c r="D184" s="42">
        <f>(C183-$B$4)*EXP($D$13)</f>
        <v>4.7709690963645641E-2</v>
      </c>
      <c r="E184" s="41">
        <f>(D184-$B$4)*EXP($E$13)</f>
        <v>4.6641387534888716E-2</v>
      </c>
      <c r="F184" s="41">
        <f>(E183-$B$4)*EXP($E$13)</f>
        <v>4.7857294349480252E-2</v>
      </c>
      <c r="G184" s="41">
        <f>(F183-$B$4)*EXP($G$13)</f>
        <v>4.936436515938479E-2</v>
      </c>
      <c r="H184" s="40"/>
      <c r="I184" s="1"/>
      <c r="J184" s="2">
        <f>MIN($B$8,AVERAGE(K185:K187)/(1+D185+$D$9/10000))+$B$7</f>
        <v>104.73398529780351</v>
      </c>
      <c r="K184" s="39"/>
      <c r="L184" s="39"/>
      <c r="M184" s="39"/>
    </row>
    <row r="185" spans="2:13" x14ac:dyDescent="0.35">
      <c r="B185" s="5"/>
      <c r="C185" s="5"/>
      <c r="D185" s="12">
        <f>C183*EXP($D$13)</f>
        <v>4.9956896275035807E-2</v>
      </c>
      <c r="E185" s="41">
        <f>(D185-$B$4)*EXP($E$13)</f>
        <v>4.8944474450656535E-2</v>
      </c>
      <c r="F185" s="41">
        <f>(E184-$B$4)*EXP($E$13)</f>
        <v>4.5546518438429565E-2</v>
      </c>
      <c r="G185" s="41">
        <f>(F184-$B$4)*EXP($G$13)</f>
        <v>4.6920908337222823E-2</v>
      </c>
      <c r="H185" s="40"/>
      <c r="I185" s="1"/>
      <c r="J185" s="1"/>
      <c r="K185" s="2">
        <f>MIN($B$8,AVERAGE(L183:L186)/(1+E183+$D$9/10000))+$B$7</f>
        <v>104.93270301721066</v>
      </c>
      <c r="L185" s="39"/>
      <c r="M185" s="2">
        <f>MIN($B$8,(100+$B$7)/(1+G$164+$D$9/10000))+$B$7</f>
        <v>104.71768498841423</v>
      </c>
    </row>
    <row r="186" spans="2:13" x14ac:dyDescent="0.35">
      <c r="B186" s="5"/>
      <c r="C186" s="5"/>
      <c r="D186" s="5"/>
      <c r="E186" s="12">
        <f>D185*EXP($E$13)</f>
        <v>5.1199182193205781E-2</v>
      </c>
      <c r="F186" s="12">
        <f>E184*EXP($F$13)</f>
        <v>4.7918501933182818E-2</v>
      </c>
      <c r="G186" s="12">
        <f>F184*EXP($G$13)</f>
        <v>4.9181795667771908E-2</v>
      </c>
      <c r="H186" s="40"/>
      <c r="I186" s="1"/>
      <c r="J186" s="1"/>
      <c r="K186" s="39"/>
      <c r="L186" s="2">
        <f>MIN($B$8,AVERAGE(M179:M181)/(1+F186+$D$9/10000))+$B$7</f>
        <v>104.92922617095964</v>
      </c>
      <c r="M186" s="39"/>
    </row>
    <row r="187" spans="2:13" x14ac:dyDescent="0.35">
      <c r="B187" s="5"/>
      <c r="C187" s="5"/>
      <c r="D187" s="5"/>
      <c r="E187" s="5"/>
      <c r="F187" s="41">
        <f>(E185-$B$4)*EXP($E$13)</f>
        <v>4.7906876575132089E-2</v>
      </c>
      <c r="G187" s="41">
        <f>(F185-$B$4)*EXP($G$13)</f>
        <v>4.4546179254935314E-2</v>
      </c>
      <c r="H187" s="38"/>
      <c r="I187" s="39"/>
      <c r="J187" s="39"/>
      <c r="K187" s="2">
        <f>MIN($B$8,AVERAGE(L188:L190)/(1+E186+$D$9/10000))+$B$7</f>
        <v>104.500068295633</v>
      </c>
      <c r="L187" s="39"/>
      <c r="M187" s="2">
        <f>MIN($B$8,(100+$B$7)/(1+G$164+$D$9/10000))+$B$7</f>
        <v>104.71768498841423</v>
      </c>
    </row>
    <row r="188" spans="2:13" x14ac:dyDescent="0.35">
      <c r="B188" s="5"/>
      <c r="C188" s="5"/>
      <c r="D188" s="5"/>
      <c r="E188" s="5"/>
      <c r="F188" s="12">
        <f>E185*EXP($F$13)</f>
        <v>5.0284650983593387E-2</v>
      </c>
      <c r="G188" s="12">
        <f>F185*EXP($G$13)</f>
        <v>4.6807066585484398E-2</v>
      </c>
      <c r="H188" s="1"/>
      <c r="I188" s="39"/>
      <c r="J188" s="39"/>
      <c r="K188" s="39"/>
      <c r="L188" s="2">
        <f>MIN($B$8,AVERAGE(M181:M183)/(1+F188+$D$9/10000))+$B$7</f>
        <v>104.70409916049515</v>
      </c>
      <c r="M188" s="39"/>
    </row>
    <row r="189" spans="2:13" x14ac:dyDescent="0.35">
      <c r="B189" s="5"/>
      <c r="C189" s="5"/>
      <c r="D189" s="5"/>
      <c r="E189" s="5"/>
      <c r="F189" s="41">
        <f>(E186-$B$4)*EXP($E$13)</f>
        <v>5.0217652486182776E-2</v>
      </c>
      <c r="G189" s="41">
        <f>(F186-$B$4)*EXP($G$13)</f>
        <v>4.6983809905644026E-2</v>
      </c>
      <c r="H189" s="1"/>
      <c r="I189" s="1"/>
      <c r="J189" s="39"/>
      <c r="K189" s="39"/>
      <c r="L189" s="39"/>
      <c r="M189" s="2">
        <f>MIN($B$8,(100+$B$7)/(1+G$164+$D$9/10000))+$B$7</f>
        <v>104.71768498841423</v>
      </c>
    </row>
    <row r="190" spans="2:13" x14ac:dyDescent="0.35">
      <c r="B190" s="5"/>
      <c r="C190" s="5"/>
      <c r="D190" s="5"/>
      <c r="E190" s="5"/>
      <c r="F190" s="12">
        <f>E186*EXP($F$13)</f>
        <v>5.2601096163087474E-2</v>
      </c>
      <c r="G190" s="12">
        <f>F186*EXP($G$13)</f>
        <v>4.9244697236193111E-2</v>
      </c>
      <c r="H190" s="1"/>
      <c r="I190" s="1"/>
      <c r="J190" s="1"/>
      <c r="K190" s="39"/>
      <c r="L190" s="2">
        <f>MIN($B$8,AVERAGE(M183:M185)/(1+F190+$D$9/10000))+$B$7</f>
        <v>104.48468168057991</v>
      </c>
      <c r="M190" s="39"/>
    </row>
    <row r="191" spans="2:13" x14ac:dyDescent="0.35">
      <c r="B191" s="5"/>
      <c r="C191" s="5"/>
      <c r="D191" s="5"/>
      <c r="E191" s="5"/>
      <c r="F191" s="5"/>
      <c r="G191" s="41">
        <f>(F187-$B$4)*EXP($G$13)</f>
        <v>4.6971862803494031E-2</v>
      </c>
      <c r="H191" s="1"/>
      <c r="I191" s="1"/>
      <c r="J191" s="1"/>
      <c r="K191" s="1"/>
      <c r="L191" s="39"/>
      <c r="M191" s="2">
        <f>MIN($B$8,(100+$B$7)/(1+G$164+$D$9/10000))+$B$7</f>
        <v>104.71768498841423</v>
      </c>
    </row>
    <row r="192" spans="2:13" x14ac:dyDescent="0.35">
      <c r="B192" s="5"/>
      <c r="C192" s="5"/>
      <c r="D192" s="5"/>
      <c r="E192" s="5"/>
      <c r="F192" s="5"/>
      <c r="G192" s="12">
        <f>F187*EXP($G$13)</f>
        <v>4.9232750134043116E-2</v>
      </c>
      <c r="H192" s="1"/>
      <c r="I192" s="1"/>
      <c r="J192" s="1"/>
      <c r="K192" s="1"/>
      <c r="L192" s="1"/>
      <c r="M192" s="39"/>
    </row>
    <row r="193" spans="2:13" x14ac:dyDescent="0.35">
      <c r="B193" s="5"/>
      <c r="C193" s="5"/>
      <c r="D193" s="5"/>
      <c r="E193" s="5"/>
      <c r="F193" s="5"/>
      <c r="G193" s="41">
        <f>(F188-0.001)*EXP($G$13)</f>
        <v>5.06486559087908E-2</v>
      </c>
      <c r="H193" s="1"/>
      <c r="I193" s="1"/>
      <c r="J193" s="1"/>
      <c r="K193" s="1"/>
      <c r="L193" s="1"/>
      <c r="M193" s="2">
        <f>MIN($B$8,(100+$B$7)/(1+G$164+$D$9/10000))+$B$7</f>
        <v>104.71768498841423</v>
      </c>
    </row>
    <row r="194" spans="2:13" x14ac:dyDescent="0.35">
      <c r="B194" s="5"/>
      <c r="C194" s="5"/>
      <c r="D194" s="5"/>
      <c r="E194" s="5"/>
      <c r="F194" s="5"/>
      <c r="G194" s="12">
        <f>F188*EXP($G$13)</f>
        <v>5.1676331968131296E-2</v>
      </c>
      <c r="H194" s="40"/>
      <c r="I194" s="1"/>
      <c r="J194" s="1"/>
      <c r="K194" s="1"/>
      <c r="L194" s="1"/>
      <c r="M194" s="39"/>
    </row>
    <row r="195" spans="2:13" x14ac:dyDescent="0.35">
      <c r="B195" s="5"/>
      <c r="C195" s="5"/>
      <c r="D195" s="5"/>
      <c r="E195" s="5"/>
      <c r="F195" s="5"/>
      <c r="G195" s="41">
        <f>(F189-$B$4)*EXP($G$13)</f>
        <v>4.9346591885781541E-2</v>
      </c>
      <c r="H195" s="40"/>
      <c r="I195" s="1"/>
      <c r="J195" s="1"/>
      <c r="K195" s="1"/>
      <c r="L195" s="1"/>
      <c r="M195" s="2">
        <f>MIN($B$8,(100+$B$7)/(1+G$164+$D$9/10000))+$B$7</f>
        <v>104.71768498841423</v>
      </c>
    </row>
    <row r="196" spans="2:13" x14ac:dyDescent="0.35">
      <c r="B196" s="5"/>
      <c r="C196" s="5"/>
      <c r="D196" s="5"/>
      <c r="E196" s="5"/>
      <c r="F196" s="5"/>
      <c r="G196" s="12">
        <f>F189*EXP($G$13)</f>
        <v>5.1607479216330625E-2</v>
      </c>
      <c r="H196" s="40"/>
      <c r="I196" s="1"/>
      <c r="J196" s="1"/>
      <c r="K196" s="1"/>
      <c r="L196" s="1"/>
      <c r="M196" s="39"/>
    </row>
    <row r="197" spans="2:13" x14ac:dyDescent="0.35">
      <c r="B197" s="5"/>
      <c r="C197" s="5"/>
      <c r="D197" s="5"/>
      <c r="E197" s="5"/>
      <c r="F197" s="5"/>
      <c r="G197" s="41">
        <f>(F190-$B$4)*EXP($G$13)</f>
        <v>5.1795999891322976E-2</v>
      </c>
      <c r="H197" s="40"/>
      <c r="I197" s="1"/>
      <c r="J197" s="1"/>
      <c r="K197" s="1"/>
      <c r="L197" s="1"/>
      <c r="M197" s="2">
        <f>MIN($B$8,(100+$B$7)/(1+G$164+$D$9/10000))+$B$7</f>
        <v>104.71768498841423</v>
      </c>
    </row>
    <row r="198" spans="2:13" x14ac:dyDescent="0.35">
      <c r="B198" s="5"/>
      <c r="C198" s="5"/>
      <c r="D198" s="5"/>
      <c r="E198" s="5"/>
      <c r="F198" s="5"/>
      <c r="G198" s="12">
        <f>F190*EXP($G$13)</f>
        <v>5.405688722187206E-2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HJM_exp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2025-09-30T16:38:34Z</dcterms:modified>
</cp:coreProperties>
</file>